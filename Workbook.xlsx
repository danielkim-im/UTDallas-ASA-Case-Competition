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d LDFs" sheetId="1" r:id="rId4"/>
    <sheet state="visible" name="Paid LDFs" sheetId="2" r:id="rId5"/>
    <sheet state="visible" name="Catastrophe Adjustment (Outlier" sheetId="3" r:id="rId6"/>
    <sheet state="visible" name="Intro" sheetId="4" r:id="rId7"/>
    <sheet state="visible" name="Summary" sheetId="5" r:id="rId8"/>
    <sheet state="visible" name="Base_Indem_Tri" sheetId="6" r:id="rId9"/>
    <sheet state="visible" name="Base_Med_Tri" sheetId="7" r:id="rId10"/>
    <sheet state="visible" name="% of Ult" sheetId="8" r:id="rId11"/>
    <sheet state="visible" name="Summary Freq&amp;Sev" sheetId="9" r:id="rId12"/>
    <sheet state="visible" name="Rep_Tri" sheetId="10" r:id="rId13"/>
    <sheet state="visible" name="Base_Indem_Sev" sheetId="11" r:id="rId14"/>
    <sheet state="visible" name="Base_Med_Sev" sheetId="12" r:id="rId15"/>
    <sheet state="visible" name="Catastrophe" sheetId="13" r:id="rId16"/>
  </sheets>
  <definedNames>
    <definedName localSheetId="6" name="Roman">#REF!</definedName>
    <definedName localSheetId="8" name="Roman">#REF!</definedName>
    <definedName localSheetId="3" name="Roman">#REF!</definedName>
    <definedName localSheetId="11" name="Roman">#REF!</definedName>
    <definedName localSheetId="9" name="Roman">#REF!</definedName>
    <definedName name="Roman">#REF!</definedName>
  </definedNames>
  <calcPr/>
</workbook>
</file>

<file path=xl/sharedStrings.xml><?xml version="1.0" encoding="utf-8"?>
<sst xmlns="http://schemas.openxmlformats.org/spreadsheetml/2006/main" count="897" uniqueCount="160">
  <si>
    <t>Development</t>
  </si>
  <si>
    <t>Indemnity LDF</t>
  </si>
  <si>
    <t>Medical LDF</t>
  </si>
  <si>
    <t>12–24</t>
  </si>
  <si>
    <t>24–36</t>
  </si>
  <si>
    <t>36–48</t>
  </si>
  <si>
    <t>48–60</t>
  </si>
  <si>
    <t>60–72</t>
  </si>
  <si>
    <t>72–84</t>
  </si>
  <si>
    <t>84–96</t>
  </si>
  <si>
    <t>96–108</t>
  </si>
  <si>
    <t>108–120</t>
  </si>
  <si>
    <t>120–132</t>
  </si>
  <si>
    <t>132–144</t>
  </si>
  <si>
    <t>144–156</t>
  </si>
  <si>
    <t>24-36</t>
  </si>
  <si>
    <t>36-48</t>
  </si>
  <si>
    <t>48-60</t>
  </si>
  <si>
    <t>60-72</t>
  </si>
  <si>
    <t>72-84</t>
  </si>
  <si>
    <t>84-96</t>
  </si>
  <si>
    <t>96-108</t>
  </si>
  <si>
    <t>108-120</t>
  </si>
  <si>
    <t>120-132</t>
  </si>
  <si>
    <t>132-144</t>
  </si>
  <si>
    <t>144-156</t>
  </si>
  <si>
    <t>Development Period (Months)</t>
  </si>
  <si>
    <t>LDFs (All Years)</t>
  </si>
  <si>
    <t>LDFs (Excl. 2012)</t>
  </si>
  <si>
    <t>Difference (%)</t>
  </si>
  <si>
    <t>Workers Compensation Reserving Case Study</t>
  </si>
  <si>
    <t>A</t>
  </si>
  <si>
    <t>Introduction to Reserving (Loss Development)</t>
  </si>
  <si>
    <t>Step</t>
  </si>
  <si>
    <t>Tab Names</t>
  </si>
  <si>
    <t>Instructions</t>
  </si>
  <si>
    <t>Summary</t>
  </si>
  <si>
    <t>1.1 Read Chapter 5-7 of Friedland's textbook. Exhibit I of Chapter 7 can be referred to as an example;</t>
  </si>
  <si>
    <t>Friedland's textbook</t>
  </si>
  <si>
    <t>1.2 The exhibits at the end of Chapter 7 of Friedland's textbook can be referred to as examples;</t>
  </si>
  <si>
    <t>Base_Indem_Tri</t>
  </si>
  <si>
    <t>2.1 Start with the given paid loss triangle and the incurred loss triangle, perform any data analysis required (such as identifying outliers);</t>
  </si>
  <si>
    <t>2.2 Select incremental loss development factors for paid and incurred loss triangles in the blue cells;</t>
  </si>
  <si>
    <t>2.3 Compare the selections for paid and incurred loss development factors in the '% of Ult' tab, and make adjustments as necessary;</t>
  </si>
  <si>
    <t>Base_Med_Tri</t>
  </si>
  <si>
    <t>3.1 Start with the given paid loss triangle and the incurred loss triangle, perform any data analysis required (such as identifying outliers);</t>
  </si>
  <si>
    <t>3.2 Select incremental loss development factors for paid and incurred loss triangles in the blue cells;</t>
  </si>
  <si>
    <t>3.3 Compare the selections for paid and incurred loss development factors in the '% of Ult' tab, and make adjustments as necessary;</t>
  </si>
  <si>
    <t>4.1 Compare the results of the paid loss development method against the incurred loss development method;</t>
  </si>
  <si>
    <t>4.2 Reflect on the reasons behind the differences, if any, and make adjustments as necessary;</t>
  </si>
  <si>
    <t>4.3 Reflect and answer the questions in the case study;</t>
  </si>
  <si>
    <t>B</t>
  </si>
  <si>
    <t>In-Depth Considerations (Frequency/Severity, Catastrophe, and Tail Factor)</t>
  </si>
  <si>
    <t>Summary Freq&amp;Sev</t>
  </si>
  <si>
    <t>1.1 Read Chapter 11 of Friedland's textbook, feel free to skip over Frequency Severity Approach #2;</t>
  </si>
  <si>
    <t>Rep_Tri</t>
  </si>
  <si>
    <t>2.1 Select incremental claim count development factors;</t>
  </si>
  <si>
    <t>3.1 Refer to Part A Step 2;</t>
  </si>
  <si>
    <t>Base_Indem_Sev</t>
  </si>
  <si>
    <t>3.2 Consider the effect of the catastrophic event given in the 'Catastrophe" tab as well as tail factors in the yellow cells (development beyond the latest data in the triangle)</t>
  </si>
  <si>
    <t>Base_Med_Sev</t>
  </si>
  <si>
    <t>3.1 Refer to Part A Step 3;</t>
  </si>
  <si>
    <t>5.1 Compare the results of the frequency/severity method against the loss development method in part A;</t>
  </si>
  <si>
    <t>5.2 Reflect and answer the questions in the case study;</t>
  </si>
  <si>
    <t>TOU Insurance Company - Workers Compensation</t>
  </si>
  <si>
    <t>Development of Unpaid Claim Estimate</t>
  </si>
  <si>
    <t>Paid Loss Development</t>
  </si>
  <si>
    <t>Indemnity + Medical</t>
  </si>
  <si>
    <t>Indemnity</t>
  </si>
  <si>
    <t>Medical</t>
  </si>
  <si>
    <t>Case</t>
  </si>
  <si>
    <t>Project Ultimate Claims</t>
  </si>
  <si>
    <t>Projected</t>
  </si>
  <si>
    <t>Unpaid Claim Estimate</t>
  </si>
  <si>
    <t>Accident</t>
  </si>
  <si>
    <t>Paid</t>
  </si>
  <si>
    <t>Selected</t>
  </si>
  <si>
    <t>Ultimate</t>
  </si>
  <si>
    <t>Earned</t>
  </si>
  <si>
    <t>Outstanding</t>
  </si>
  <si>
    <t>Using Loss Development</t>
  </si>
  <si>
    <t>Ultimate Loss Ratios</t>
  </si>
  <si>
    <t>IBNR</t>
  </si>
  <si>
    <t>Total Unpaid</t>
  </si>
  <si>
    <t>Year</t>
  </si>
  <si>
    <t>Losses</t>
  </si>
  <si>
    <t>LDFs</t>
  </si>
  <si>
    <t>Losses $000s</t>
  </si>
  <si>
    <t>Premiums</t>
  </si>
  <si>
    <t>Reported</t>
  </si>
  <si>
    <t>Reported Loss Development</t>
  </si>
  <si>
    <t>Total</t>
  </si>
  <si>
    <t>Provided by Company XYZ</t>
  </si>
  <si>
    <t>= (6) / (2)</t>
  </si>
  <si>
    <t>= (7) / (2)</t>
  </si>
  <si>
    <t>= (6) - (4)</t>
  </si>
  <si>
    <t>= (7) - (4)</t>
  </si>
  <si>
    <t>= (4) - (3)</t>
  </si>
  <si>
    <t>= (5) + (10)</t>
  </si>
  <si>
    <t>Selected by Actuary</t>
  </si>
  <si>
    <t>= (5) + (11)</t>
  </si>
  <si>
    <t xml:space="preserve"> </t>
  </si>
  <si>
    <t>Direct Accident Year Case Reported Loss Development Factors</t>
  </si>
  <si>
    <t>Direct Accident Year Paid Loss Development Factors</t>
  </si>
  <si>
    <t>INDEMNITY in $Thousands</t>
  </si>
  <si>
    <t>Target - Direct Accident Year Case Reported Loss Development Factors</t>
  </si>
  <si>
    <t>Target - Direct Accident Year Paid Loss Development Factors</t>
  </si>
  <si>
    <t>INDEMNITY</t>
  </si>
  <si>
    <t>to</t>
  </si>
  <si>
    <t>Incremental Averages</t>
  </si>
  <si>
    <t>2 Year</t>
  </si>
  <si>
    <t>3 Year</t>
  </si>
  <si>
    <t>4 Year</t>
  </si>
  <si>
    <t>5 Year</t>
  </si>
  <si>
    <t>All Year</t>
  </si>
  <si>
    <t>Cumulative</t>
  </si>
  <si>
    <t>Calendar</t>
  </si>
  <si>
    <t>MEDICAL in $Thousands</t>
  </si>
  <si>
    <t>MEDICAL</t>
  </si>
  <si>
    <t>Percent Paid</t>
  </si>
  <si>
    <t>Percent Reported</t>
  </si>
  <si>
    <t>Age</t>
  </si>
  <si>
    <t>Ind Paid</t>
  </si>
  <si>
    <t>Med Paid</t>
  </si>
  <si>
    <t>Ind Rep</t>
  </si>
  <si>
    <t>Med Rep</t>
  </si>
  <si>
    <t>Reported Claim Development</t>
  </si>
  <si>
    <t>Reported Claims</t>
  </si>
  <si>
    <t>Indemnity Severity</t>
  </si>
  <si>
    <t>Medical Severity</t>
  </si>
  <si>
    <t>Project Ultimate Loss Ratios</t>
  </si>
  <si>
    <t>Claims</t>
  </si>
  <si>
    <t>Severity</t>
  </si>
  <si>
    <t>Loss Development</t>
  </si>
  <si>
    <t>Frequency/Severity</t>
  </si>
  <si>
    <t>= (8) - (4)</t>
  </si>
  <si>
    <t>= (9) - (4)</t>
  </si>
  <si>
    <t>= (8) / (2)</t>
  </si>
  <si>
    <t>= (9) / (2)</t>
  </si>
  <si>
    <t>= (5) + (12)</t>
  </si>
  <si>
    <t>= (5) + (13)</t>
  </si>
  <si>
    <t>Accident Year Reported Claim Counts</t>
  </si>
  <si>
    <t>Target - Accident Year Reported Claim Count Development Factors</t>
  </si>
  <si>
    <t>Averages</t>
  </si>
  <si>
    <t>Direct Accident Year Case Incurred Loss Development Factors</t>
  </si>
  <si>
    <t>INDEMNITY INCURRED SEVERITY</t>
  </si>
  <si>
    <t>INDEMNITY PAID SEVERITY</t>
  </si>
  <si>
    <t>Accident Year Case Incurred Loss Development Factors</t>
  </si>
  <si>
    <t>Accident Year Paid Loss Development Factors</t>
  </si>
  <si>
    <t>MEDICAL Reported SEVERITY</t>
  </si>
  <si>
    <t>MEDICAL PAID SEVERITY</t>
  </si>
  <si>
    <t>Accident Year Case Reported Loss Development Factors</t>
  </si>
  <si>
    <t>Catastrophe event background</t>
  </si>
  <si>
    <t>Occurred on 12/29/2012 setting up fireworks for NYE, so nothing paid or reserved in year 1.  Some fatalities were settled indemnity in year 2.</t>
  </si>
  <si>
    <t>All claims were able to be settled in year 4 with final payments and savings realized on reserves.  This data is included in the triangles.</t>
  </si>
  <si>
    <t>In Thousands</t>
  </si>
  <si>
    <t>Indemnity Reported</t>
  </si>
  <si>
    <t>Indemnity Paid</t>
  </si>
  <si>
    <t>Medical Reported</t>
  </si>
  <si>
    <t>Medical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</si>
</sst>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00"/>
    <numFmt numFmtId="165" formatCode="m-d"/>
    <numFmt numFmtId="166" formatCode="0.0000"/>
    <numFmt numFmtId="167" formatCode="_(* #,##0.00_);_(* \(#,##0.00\);_(* &quot;-&quot;??_);_(@_)"/>
    <numFmt numFmtId="168" formatCode="0_);\(0\)"/>
    <numFmt numFmtId="169" formatCode="_(* #,##0_);_(* \(#,##0\);_(* &quot;-&quot;??_);_(@_)"/>
    <numFmt numFmtId="170" formatCode="0.0%"/>
    <numFmt numFmtId="171" formatCode="_(* #,##0.000_);_(* \(#,##0.000\);_(* &quot;-&quot;??_);_(@_)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u/>
      <sz val="10.0"/>
      <color theme="1"/>
      <name val="Arial"/>
    </font>
    <font/>
    <font>
      <u/>
      <sz val="10.0"/>
      <color theme="10"/>
      <name val="Arial"/>
    </font>
    <font>
      <i/>
      <sz val="10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sz val="10.0"/>
      <color rgb="FFFF0000"/>
      <name val="Arial"/>
    </font>
    <font>
      <u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</fills>
  <borders count="3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left/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 shrinkToFit="0" vertical="top" wrapText="0"/>
    </xf>
    <xf borderId="0" fillId="0" fontId="1" numFmtId="166" xfId="0" applyAlignment="1" applyFont="1" applyNumberFormat="1">
      <alignment readingOrder="0"/>
    </xf>
    <xf borderId="0" fillId="0" fontId="1" numFmtId="166" xfId="0" applyFont="1" applyNumberFormat="1"/>
    <xf borderId="0" fillId="0" fontId="1" numFmtId="165" xfId="0" applyAlignment="1" applyFont="1" applyNumberFormat="1">
      <alignment horizontal="left" readingOrder="0" shrinkToFit="0" vertical="top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2" numFmtId="0" xfId="0" applyBorder="1" applyFill="1" applyFont="1"/>
    <xf borderId="2" fillId="0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3" fillId="2" fontId="2" numFmtId="0" xfId="0" applyBorder="1" applyFont="1"/>
    <xf borderId="4" fillId="2" fontId="2" numFmtId="0" xfId="0" applyAlignment="1" applyBorder="1" applyFont="1">
      <alignment horizontal="center"/>
    </xf>
    <xf borderId="4" fillId="2" fontId="2" numFmtId="0" xfId="0" applyAlignment="1" applyBorder="1" applyFont="1">
      <alignment horizontal="center" shrinkToFit="0" wrapText="1"/>
    </xf>
    <xf borderId="5" fillId="0" fontId="4" numFmtId="0" xfId="0" applyBorder="1" applyFont="1"/>
    <xf borderId="6" fillId="2" fontId="5" numFmtId="0" xfId="0" applyAlignment="1" applyBorder="1" applyFont="1">
      <alignment horizontal="left"/>
    </xf>
    <xf borderId="7" fillId="0" fontId="4" numFmtId="0" xfId="0" applyBorder="1" applyFont="1"/>
    <xf borderId="5" fillId="0" fontId="2" numFmtId="0" xfId="0" applyBorder="1" applyFont="1"/>
    <xf borderId="4" fillId="0" fontId="2" numFmtId="0" xfId="0" applyAlignment="1" applyBorder="1" applyFont="1">
      <alignment horizontal="center"/>
    </xf>
    <xf borderId="6" fillId="2" fontId="2" numFmtId="0" xfId="0" applyBorder="1" applyFont="1"/>
    <xf borderId="8" fillId="0" fontId="4" numFmtId="0" xfId="0" applyBorder="1" applyFont="1"/>
    <xf borderId="9" fillId="2" fontId="2" numFmtId="0" xfId="0" applyBorder="1" applyFont="1"/>
    <xf borderId="3" fillId="2" fontId="2" numFmtId="0" xfId="0" applyAlignment="1" applyBorder="1" applyFont="1">
      <alignment horizontal="center" shrinkToFit="0" wrapText="1"/>
    </xf>
    <xf borderId="4" fillId="0" fontId="2" numFmtId="0" xfId="0" applyBorder="1" applyFont="1"/>
    <xf borderId="6" fillId="2" fontId="2" numFmtId="0" xfId="0" applyAlignment="1" applyBorder="1" applyFont="1">
      <alignment horizontal="center" shrinkToFit="0" wrapText="1"/>
    </xf>
    <xf borderId="7" fillId="0" fontId="2" numFmtId="0" xfId="0" applyBorder="1" applyFont="1"/>
    <xf borderId="10" fillId="0" fontId="2" numFmtId="0" xfId="0" applyBorder="1" applyFont="1"/>
    <xf borderId="0" fillId="0" fontId="2" numFmtId="0" xfId="0" applyAlignment="1" applyFont="1">
      <alignment horizontal="center"/>
    </xf>
    <xf borderId="0" fillId="0" fontId="6" numFmtId="0" xfId="0" applyFont="1"/>
    <xf borderId="0" fillId="0" fontId="2" numFmtId="0" xfId="0" applyAlignment="1" applyFont="1">
      <alignment shrinkToFit="0" wrapText="1"/>
    </xf>
    <xf borderId="1" fillId="2" fontId="7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2" fontId="2" numFmtId="0" xfId="0" applyAlignment="1" applyBorder="1" applyFont="1">
      <alignment horizontal="center"/>
    </xf>
    <xf borderId="11" fillId="2" fontId="2" numFmtId="0" xfId="0" applyAlignment="1" applyBorder="1" applyFont="1">
      <alignment horizontal="center"/>
    </xf>
    <xf borderId="12" fillId="0" fontId="4" numFmtId="0" xfId="0" applyBorder="1" applyFont="1"/>
    <xf borderId="13" fillId="2" fontId="2" numFmtId="0" xfId="0" applyAlignment="1" applyBorder="1" applyFont="1">
      <alignment horizontal="center"/>
    </xf>
    <xf borderId="14" fillId="0" fontId="4" numFmtId="0" xfId="0" applyBorder="1" applyFont="1"/>
    <xf borderId="15" fillId="0" fontId="4" numFmtId="0" xfId="0" applyBorder="1" applyFont="1"/>
    <xf borderId="16" fillId="2" fontId="7" numFmtId="0" xfId="0" applyAlignment="1" applyBorder="1" applyFont="1">
      <alignment horizontal="center"/>
    </xf>
    <xf borderId="17" fillId="2" fontId="7" numFmtId="0" xfId="0" applyAlignment="1" applyBorder="1" applyFont="1">
      <alignment horizontal="center"/>
    </xf>
    <xf borderId="18" fillId="2" fontId="7" numFmtId="0" xfId="0" applyAlignment="1" applyBorder="1" applyFont="1">
      <alignment horizontal="center"/>
    </xf>
    <xf borderId="19" fillId="2" fontId="7" numFmtId="0" xfId="0" applyAlignment="1" applyBorder="1" applyFont="1">
      <alignment horizontal="center"/>
    </xf>
    <xf borderId="20" fillId="2" fontId="7" numFmtId="0" xfId="0" applyAlignment="1" applyBorder="1" applyFont="1">
      <alignment horizontal="center"/>
    </xf>
    <xf borderId="21" fillId="2" fontId="7" numFmtId="0" xfId="0" applyAlignment="1" applyBorder="1" applyFont="1">
      <alignment horizontal="center"/>
    </xf>
    <xf borderId="20" fillId="2" fontId="2" numFmtId="0" xfId="0" applyAlignment="1" applyBorder="1" applyFont="1">
      <alignment horizontal="center"/>
    </xf>
    <xf borderId="22" fillId="2" fontId="2" numFmtId="0" xfId="0" applyAlignment="1" applyBorder="1" applyFont="1">
      <alignment horizontal="center"/>
    </xf>
    <xf borderId="1" fillId="2" fontId="2" numFmtId="3" xfId="0" applyAlignment="1" applyBorder="1" applyFont="1" applyNumberFormat="1">
      <alignment horizontal="center"/>
    </xf>
    <xf borderId="1" fillId="3" fontId="2" numFmtId="167" xfId="0" applyAlignment="1" applyBorder="1" applyFill="1" applyFont="1" applyNumberFormat="1">
      <alignment horizontal="center"/>
    </xf>
    <xf borderId="23" fillId="2" fontId="2" numFmtId="3" xfId="0" applyAlignment="1" applyBorder="1" applyFont="1" applyNumberFormat="1">
      <alignment horizontal="center"/>
    </xf>
    <xf borderId="1" fillId="2" fontId="2" numFmtId="168" xfId="0" applyAlignment="1" applyBorder="1" applyFont="1" applyNumberFormat="1">
      <alignment horizontal="center"/>
    </xf>
    <xf borderId="1" fillId="2" fontId="2" numFmtId="169" xfId="0" applyBorder="1" applyFont="1" applyNumberFormat="1"/>
    <xf borderId="1" fillId="2" fontId="2" numFmtId="9" xfId="0" applyBorder="1" applyFont="1" applyNumberFormat="1"/>
    <xf borderId="24" fillId="2" fontId="2" numFmtId="0" xfId="0" applyAlignment="1" applyBorder="1" applyFont="1">
      <alignment horizontal="center"/>
    </xf>
    <xf borderId="25" fillId="2" fontId="2" numFmtId="3" xfId="0" applyAlignment="1" applyBorder="1" applyFont="1" applyNumberFormat="1">
      <alignment horizontal="center"/>
    </xf>
    <xf borderId="25" fillId="3" fontId="2" numFmtId="167" xfId="0" applyAlignment="1" applyBorder="1" applyFont="1" applyNumberFormat="1">
      <alignment horizontal="center"/>
    </xf>
    <xf borderId="26" fillId="2" fontId="2" numFmtId="3" xfId="0" applyAlignment="1" applyBorder="1" applyFont="1" applyNumberFormat="1">
      <alignment horizontal="center"/>
    </xf>
    <xf quotePrefix="1" borderId="1" fillId="2" fontId="2" numFmtId="0" xfId="0" applyBorder="1" applyFont="1"/>
    <xf borderId="0" fillId="0" fontId="7" numFmtId="0" xfId="0" applyFont="1"/>
    <xf borderId="0" fillId="0" fontId="8" numFmtId="0" xfId="0" applyAlignment="1" applyFont="1">
      <alignment horizontal="center"/>
    </xf>
    <xf borderId="0" fillId="0" fontId="9" numFmtId="16" xfId="0" applyAlignment="1" applyFont="1" applyNumberFormat="1">
      <alignment horizontal="center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center"/>
    </xf>
    <xf borderId="0" fillId="0" fontId="2" numFmtId="3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12" numFmtId="164" xfId="0" applyAlignment="1" applyFont="1" applyNumberFormat="1">
      <alignment horizontal="center"/>
    </xf>
    <xf borderId="27" fillId="4" fontId="2" numFmtId="0" xfId="0" applyAlignment="1" applyBorder="1" applyFill="1" applyFont="1">
      <alignment horizontal="left"/>
    </xf>
    <xf borderId="28" fillId="4" fontId="2" numFmtId="164" xfId="0" applyAlignment="1" applyBorder="1" applyFont="1" applyNumberFormat="1">
      <alignment horizontal="center"/>
    </xf>
    <xf borderId="29" fillId="4" fontId="2" numFmtId="164" xfId="0" applyAlignment="1" applyBorder="1" applyFont="1" applyNumberFormat="1">
      <alignment horizontal="center"/>
    </xf>
    <xf borderId="0" fillId="0" fontId="13" numFmtId="0" xfId="0" applyFont="1"/>
    <xf borderId="1" fillId="5" fontId="2" numFmtId="164" xfId="0" applyAlignment="1" applyBorder="1" applyFill="1" applyFont="1" applyNumberFormat="1">
      <alignment horizontal="center"/>
    </xf>
    <xf borderId="0" fillId="0" fontId="2" numFmtId="164" xfId="0" applyFont="1" applyNumberFormat="1"/>
    <xf borderId="0" fillId="0" fontId="2" numFmtId="0" xfId="0" applyAlignment="1" applyFont="1">
      <alignment horizontal="center" vertical="center"/>
    </xf>
    <xf borderId="0" fillId="0" fontId="2" numFmtId="170" xfId="0" applyFont="1" applyNumberFormat="1"/>
    <xf borderId="23" fillId="6" fontId="2" numFmtId="167" xfId="0" applyAlignment="1" applyBorder="1" applyFill="1" applyFont="1" applyNumberFormat="1">
      <alignment horizontal="center"/>
    </xf>
    <xf borderId="26" fillId="6" fontId="2" numFmtId="167" xfId="0" applyAlignment="1" applyBorder="1" applyFont="1" applyNumberFormat="1">
      <alignment horizontal="center"/>
    </xf>
    <xf borderId="0" fillId="0" fontId="2" numFmtId="9" xfId="0" applyFont="1" applyNumberFormat="1"/>
    <xf borderId="0" fillId="0" fontId="2" numFmtId="3" xfId="0" applyFont="1" applyNumberFormat="1"/>
    <xf borderId="0" fillId="0" fontId="2" numFmtId="17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Indemnity and Medical LDF (Reported)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'Reported LDFs'!$B$1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'Reported LDFs'!$A$2:$A$13</c:f>
            </c:strRef>
          </c:cat>
          <c:val>
            <c:numRef>
              <c:f>'Reported LDFs'!$B$2:$B$13</c:f>
              <c:numCache/>
            </c:numRef>
          </c:val>
          <c:smooth val="1"/>
        </c:ser>
        <c:ser>
          <c:idx val="1"/>
          <c:order val="1"/>
          <c:tx>
            <c:strRef>
              <c:f>'Reported LDFs'!$C$1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'Reported LDFs'!$A$2:$A$13</c:f>
            </c:strRef>
          </c:cat>
          <c:val>
            <c:numRef>
              <c:f>'Reported LDFs'!$C$2:$C$13</c:f>
              <c:numCache/>
            </c:numRef>
          </c:val>
          <c:smooth val="1"/>
        </c:ser>
        <c:axId val="1785700635"/>
        <c:axId val="841909093"/>
      </c:lineChart>
      <c:catAx>
        <c:axId val="17857006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Development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909093"/>
      </c:catAx>
      <c:valAx>
        <c:axId val="841909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57006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Indemnity and Medical LDF (Paid)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'Paid LDFs'!$B$1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'Paid LDFs'!$A$2:$A$13</c:f>
            </c:strRef>
          </c:cat>
          <c:val>
            <c:numRef>
              <c:f>'Paid LDFs'!$B$2:$B$13</c:f>
              <c:numCache/>
            </c:numRef>
          </c:val>
          <c:smooth val="0"/>
        </c:ser>
        <c:ser>
          <c:idx val="1"/>
          <c:order val="1"/>
          <c:tx>
            <c:strRef>
              <c:f>'Paid LDFs'!$C$1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'Paid LDFs'!$A$2:$A$13</c:f>
            </c:strRef>
          </c:cat>
          <c:val>
            <c:numRef>
              <c:f>'Paid LDFs'!$C$2:$C$13</c:f>
              <c:numCache/>
            </c:numRef>
          </c:val>
          <c:smooth val="0"/>
        </c:ser>
        <c:axId val="246097164"/>
        <c:axId val="1015075603"/>
      </c:lineChart>
      <c:catAx>
        <c:axId val="246097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Development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5075603"/>
      </c:catAx>
      <c:valAx>
        <c:axId val="1015075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60971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Comparison of Reported Loss Development Factors (LDFs) With and Without the 2012 Catastrophe Year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'Catastrophe Adjustment (Outlier'!$G$1</c:f>
            </c:strRef>
          </c:tx>
          <c:spPr>
            <a:ln cmpd="sng" w="19050">
              <a:solidFill>
                <a:srgbClr val="5B9BD5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5B9BD5"/>
              </a:solidFill>
              <a:ln cmpd="sng">
                <a:solidFill>
                  <a:srgbClr val="5B9BD5"/>
                </a:solidFill>
              </a:ln>
            </c:spPr>
          </c:marker>
          <c:cat>
            <c:strRef>
              <c:f>'Catastrophe Adjustment (Outlier'!$F$2:$F$13</c:f>
            </c:strRef>
          </c:cat>
          <c:val>
            <c:numRef>
              <c:f>'Catastrophe Adjustment (Outlier'!$G$2:$G$13</c:f>
              <c:numCache/>
            </c:numRef>
          </c:val>
          <c:smooth val="0"/>
        </c:ser>
        <c:ser>
          <c:idx val="1"/>
          <c:order val="1"/>
          <c:tx>
            <c:strRef>
              <c:f>'Catastrophe Adjustment (Outlier'!$H$1</c:f>
            </c:strRef>
          </c:tx>
          <c:spPr>
            <a:ln cmpd="sng" w="19050">
              <a:solidFill>
                <a:srgbClr val="ED7D31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cat>
            <c:strRef>
              <c:f>'Catastrophe Adjustment (Outlier'!$F$2:$F$13</c:f>
            </c:strRef>
          </c:cat>
          <c:val>
            <c:numRef>
              <c:f>'Catastrophe Adjustment (Outlier'!$H$2:$H$13</c:f>
              <c:numCache/>
            </c:numRef>
          </c:val>
          <c:smooth val="0"/>
        </c:ser>
        <c:axId val="210830034"/>
        <c:axId val="1557680154"/>
      </c:lineChart>
      <c:catAx>
        <c:axId val="210830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Development Period (Months)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7680154"/>
      </c:catAx>
      <c:valAx>
        <c:axId val="1557680154"/>
        <c:scaling>
          <c:orientation val="minMax"/>
          <c:max val="1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30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Absolute Difference Between LDFs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'Catastrophe Adjustment (Outlier'!$I$1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'Catastrophe Adjustment (Outlier'!$F$2:$F$13</c:f>
            </c:strRef>
          </c:cat>
          <c:val>
            <c:numRef>
              <c:f>'Catastrophe Adjustment (Outlier'!$I$2:$I$13</c:f>
              <c:numCache/>
            </c:numRef>
          </c:val>
          <c:smooth val="0"/>
        </c:ser>
        <c:axId val="549370124"/>
        <c:axId val="335119414"/>
      </c:lineChart>
      <c:catAx>
        <c:axId val="549370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119414"/>
      </c:catAx>
      <c:valAx>
        <c:axId val="335119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Difference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93701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Incurred Loss Development Factors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2010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Base_Indem_Tri!$B$6:$M$6</c:f>
            </c:numRef>
          </c:xVal>
          <c:yVal>
            <c:numRef>
              <c:f>Base_Indem_Tri!$B$67:$I$67</c:f>
              <c:numCache/>
            </c:numRef>
          </c:yVal>
        </c:ser>
        <c:ser>
          <c:idx val="1"/>
          <c:order val="1"/>
          <c:tx>
            <c:v>2011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Base_Indem_Tri!$B$6:$M$6</c:f>
            </c:numRef>
          </c:xVal>
          <c:yVal>
            <c:numRef>
              <c:f>Base_Indem_Tri!$B$68:$J$68</c:f>
              <c:numCache/>
            </c:numRef>
          </c:yVal>
        </c:ser>
        <c:ser>
          <c:idx val="2"/>
          <c:order val="2"/>
          <c:tx>
            <c:v>2012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Base_Indem_Tri!$B$6:$M$6</c:f>
            </c:numRef>
          </c:xVal>
          <c:yVal>
            <c:numRef>
              <c:f>Base_Indem_Tri!$B$69:$K$69</c:f>
              <c:numCache/>
            </c:numRef>
          </c:yVal>
        </c:ser>
        <c:ser>
          <c:idx val="3"/>
          <c:order val="3"/>
          <c:tx>
            <c:v>2013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Base_Indem_Tri!$B$6:$M$6</c:f>
            </c:numRef>
          </c:xVal>
          <c:yVal>
            <c:numRef>
              <c:f>Base_Indem_Tri!$B$70:$L$70</c:f>
              <c:numCache/>
            </c:numRef>
          </c:yVal>
        </c:ser>
        <c:ser>
          <c:idx val="4"/>
          <c:order val="4"/>
          <c:tx>
            <c:v>2014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Base_Indem_Tri!$B$6:$M$6</c:f>
            </c:numRef>
          </c:xVal>
          <c:yVal>
            <c:numRef>
              <c:f>Base_Indem_Tri!$B$71:$M$71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057893"/>
        <c:axId val="1269457126"/>
      </c:scatterChart>
      <c:valAx>
        <c:axId val="12960578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269457126"/>
        <c:majorUnit val="12.0"/>
      </c:valAx>
      <c:valAx>
        <c:axId val="1269457126"/>
        <c:scaling>
          <c:orientation val="minMax"/>
          <c:min val="0.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29605789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Paid Loss Development Factors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2010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Base_Indem_Tri!$Q$6:$W$6</c:f>
            </c:numRef>
          </c:xVal>
          <c:yVal>
            <c:numRef>
              <c:f>Base_Indem_Tri!$Q$67:$X$67</c:f>
              <c:numCache/>
            </c:numRef>
          </c:yVal>
        </c:ser>
        <c:ser>
          <c:idx val="1"/>
          <c:order val="1"/>
          <c:tx>
            <c:v>2011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Base_Indem_Tri!$Q$6:$W$6</c:f>
            </c:numRef>
          </c:xVal>
          <c:yVal>
            <c:numRef>
              <c:f>Base_Indem_Tri!$Q$68:$Y$68</c:f>
              <c:numCache/>
            </c:numRef>
          </c:yVal>
        </c:ser>
        <c:ser>
          <c:idx val="2"/>
          <c:order val="2"/>
          <c:tx>
            <c:v>2012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Base_Indem_Tri!$Q$6:$W$6</c:f>
            </c:numRef>
          </c:xVal>
          <c:yVal>
            <c:numRef>
              <c:f>Base_Indem_Tri!$Q$69:$Z$69</c:f>
              <c:numCache/>
            </c:numRef>
          </c:yVal>
        </c:ser>
        <c:ser>
          <c:idx val="3"/>
          <c:order val="3"/>
          <c:tx>
            <c:v>2013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Base_Indem_Tri!$Q$6:$W$6</c:f>
            </c:numRef>
          </c:xVal>
          <c:yVal>
            <c:numRef>
              <c:f>Base_Indem_Tri!$Q$70:$AA$70</c:f>
              <c:numCache/>
            </c:numRef>
          </c:yVal>
        </c:ser>
        <c:ser>
          <c:idx val="4"/>
          <c:order val="4"/>
          <c:tx>
            <c:v>2014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Base_Indem_Tri!$Q$6:$W$6</c:f>
            </c:numRef>
          </c:xVal>
          <c:yVal>
            <c:numRef>
              <c:f>Base_Indem_Tri!$Q$71:$AB$71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003645"/>
        <c:axId val="244124044"/>
      </c:scatterChart>
      <c:valAx>
        <c:axId val="17070036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244124044"/>
        <c:majorUnit val="12.0"/>
      </c:valAx>
      <c:valAx>
        <c:axId val="244124044"/>
        <c:scaling>
          <c:orientation val="minMax"/>
          <c:min val="0.600000000000000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707003645"/>
        <c:majorUnit val="0.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Paid Loss Development Factors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2010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Base_Med_Tri!$Q$63:$AC$63</c:f>
            </c:numRef>
          </c:xVal>
          <c:yVal>
            <c:numRef>
              <c:f>Base_Med_Tri!$Q$67:$AC$67</c:f>
              <c:numCache/>
            </c:numRef>
          </c:yVal>
        </c:ser>
        <c:ser>
          <c:idx val="1"/>
          <c:order val="1"/>
          <c:tx>
            <c:v>2011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Base_Med_Tri!$Q$63:$AC$63</c:f>
            </c:numRef>
          </c:xVal>
          <c:yVal>
            <c:numRef>
              <c:f>Base_Med_Tri!$Q$68:$AC$68</c:f>
              <c:numCache/>
            </c:numRef>
          </c:yVal>
        </c:ser>
        <c:ser>
          <c:idx val="2"/>
          <c:order val="2"/>
          <c:tx>
            <c:v>2012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Base_Med_Tri!$Q$63:$AC$63</c:f>
            </c:numRef>
          </c:xVal>
          <c:yVal>
            <c:numRef>
              <c:f>Base_Med_Tri!$Q$69:$AC$69</c:f>
              <c:numCache/>
            </c:numRef>
          </c:yVal>
        </c:ser>
        <c:ser>
          <c:idx val="3"/>
          <c:order val="3"/>
          <c:tx>
            <c:v>2013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Base_Med_Tri!$Q$63:$AC$63</c:f>
            </c:numRef>
          </c:xVal>
          <c:yVal>
            <c:numRef>
              <c:f>Base_Med_Tri!$Q$70:$AC$70</c:f>
              <c:numCache/>
            </c:numRef>
          </c:yVal>
        </c:ser>
        <c:ser>
          <c:idx val="4"/>
          <c:order val="4"/>
          <c:tx>
            <c:v>2014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Base_Med_Tri!$Q$63:$AC$63</c:f>
            </c:numRef>
          </c:xVal>
          <c:yVal>
            <c:numRef>
              <c:f>Base_Med_Tri!$Q$71:$AC$71</c:f>
              <c:numCache/>
            </c:numRef>
          </c:yVal>
        </c:ser>
        <c:ser>
          <c:idx val="5"/>
          <c:order val="5"/>
          <c:tx>
            <c:v>Selected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Base_Med_Tri!$Q$63:$AC$63</c:f>
            </c:numRef>
          </c:xVal>
          <c:yVal>
            <c:numRef>
              <c:f>Base_Med_Tri!$Q$49:$AC$49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30513"/>
        <c:axId val="1848313677"/>
      </c:scatterChart>
      <c:valAx>
        <c:axId val="2104305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313677"/>
        <c:majorUnit val="12.0"/>
      </c:valAx>
      <c:valAx>
        <c:axId val="1848313677"/>
        <c:scaling>
          <c:orientation val="minMax"/>
          <c:min val="0.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43051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Incurred Loss Development Factors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2010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Base_Med_Tri!$B$63:$M$63</c:f>
            </c:numRef>
          </c:xVal>
          <c:yVal>
            <c:numRef>
              <c:f>Base_Med_Tri!$B$67:$M$67</c:f>
              <c:numCache/>
            </c:numRef>
          </c:yVal>
        </c:ser>
        <c:ser>
          <c:idx val="1"/>
          <c:order val="1"/>
          <c:tx>
            <c:v>2011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Base_Med_Tri!$B$63:$M$63</c:f>
            </c:numRef>
          </c:xVal>
          <c:yVal>
            <c:numRef>
              <c:f>Base_Med_Tri!$B$68:$M$68</c:f>
              <c:numCache/>
            </c:numRef>
          </c:yVal>
        </c:ser>
        <c:ser>
          <c:idx val="2"/>
          <c:order val="2"/>
          <c:tx>
            <c:v>2012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Base_Med_Tri!$B$63:$M$63</c:f>
            </c:numRef>
          </c:xVal>
          <c:yVal>
            <c:numRef>
              <c:f>Base_Med_Tri!$B$69:$M$69</c:f>
              <c:numCache/>
            </c:numRef>
          </c:yVal>
        </c:ser>
        <c:ser>
          <c:idx val="3"/>
          <c:order val="3"/>
          <c:tx>
            <c:v>2013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Base_Med_Tri!$B$63:$M$63</c:f>
            </c:numRef>
          </c:xVal>
          <c:yVal>
            <c:numRef>
              <c:f>Base_Med_Tri!$B$70:$M$70</c:f>
              <c:numCache/>
            </c:numRef>
          </c:yVal>
        </c:ser>
        <c:ser>
          <c:idx val="4"/>
          <c:order val="4"/>
          <c:tx>
            <c:v>2014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Base_Med_Tri!$B$63:$M$63</c:f>
            </c:numRef>
          </c:xVal>
          <c:yVal>
            <c:numRef>
              <c:f>Base_Med_Tri!$B$71:$M$71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807058"/>
        <c:axId val="1737808333"/>
      </c:scatterChart>
      <c:valAx>
        <c:axId val="14128070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7808333"/>
        <c:majorUnit val="12.0"/>
      </c:valAx>
      <c:valAx>
        <c:axId val="1737808333"/>
        <c:scaling>
          <c:orientation val="minMax"/>
          <c:min val="0.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2807058"/>
        <c:majorUnit val="0.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Percent of Ultimate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Ind Paid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'% of Ult'!$A$6:$A$17</c:f>
            </c:strRef>
          </c:cat>
          <c:val>
            <c:numRef>
              <c:f>'% of Ult'!$B$6:$B$17</c:f>
              <c:numCache/>
            </c:numRef>
          </c:val>
          <c:smooth val="0"/>
        </c:ser>
        <c:ser>
          <c:idx val="1"/>
          <c:order val="1"/>
          <c:tx>
            <c:v>Med Paid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'% of Ult'!$A$6:$A$17</c:f>
            </c:strRef>
          </c:cat>
          <c:val>
            <c:numRef>
              <c:f>'% of Ult'!$C$6:$C$17</c:f>
              <c:numCache/>
            </c:numRef>
          </c:val>
          <c:smooth val="0"/>
        </c:ser>
        <c:ser>
          <c:idx val="2"/>
          <c:order val="2"/>
          <c:tx>
            <c:v>Ind Rep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'% of Ult'!$A$6:$A$17</c:f>
            </c:strRef>
          </c:cat>
          <c:val>
            <c:numRef>
              <c:f>'% of Ult'!$D$6:$D$17</c:f>
              <c:numCache/>
            </c:numRef>
          </c:val>
          <c:smooth val="0"/>
        </c:ser>
        <c:ser>
          <c:idx val="3"/>
          <c:order val="3"/>
          <c:tx>
            <c:v>Med Rep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'% of Ult'!$A$6:$A$17</c:f>
            </c:strRef>
          </c:cat>
          <c:val>
            <c:numRef>
              <c:f>'% of Ult'!$E$6:$E$17</c:f>
              <c:numCache/>
            </c:numRef>
          </c:val>
          <c:smooth val="0"/>
        </c:ser>
        <c:axId val="313701676"/>
        <c:axId val="250531759"/>
      </c:lineChart>
      <c:catAx>
        <c:axId val="3137016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250531759"/>
      </c:catAx>
      <c:valAx>
        <c:axId val="250531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31370167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Incurred Severity LDFs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2010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Base_Indem_Sev!$B$63:$N$63</c:f>
            </c:numRef>
          </c:xVal>
          <c:yVal>
            <c:numRef>
              <c:f>Base_Indem_Sev!$B$67:$N$67</c:f>
              <c:numCache/>
            </c:numRef>
          </c:yVal>
        </c:ser>
        <c:ser>
          <c:idx val="1"/>
          <c:order val="1"/>
          <c:tx>
            <c:v>2011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Base_Indem_Sev!$B$63:$N$63</c:f>
            </c:numRef>
          </c:xVal>
          <c:yVal>
            <c:numRef>
              <c:f>Base_Indem_Sev!$B$68:$N$68</c:f>
              <c:numCache/>
            </c:numRef>
          </c:yVal>
        </c:ser>
        <c:ser>
          <c:idx val="2"/>
          <c:order val="2"/>
          <c:tx>
            <c:v>2012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Base_Indem_Sev!$B$63:$N$63</c:f>
            </c:numRef>
          </c:xVal>
          <c:yVal>
            <c:numRef>
              <c:f>Base_Indem_Sev!$B$69:$N$69</c:f>
              <c:numCache/>
            </c:numRef>
          </c:yVal>
        </c:ser>
        <c:ser>
          <c:idx val="3"/>
          <c:order val="3"/>
          <c:tx>
            <c:v>2013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Base_Indem_Sev!$B$63:$N$63</c:f>
            </c:numRef>
          </c:xVal>
          <c:yVal>
            <c:numRef>
              <c:f>Base_Indem_Sev!$B$70:$N$70</c:f>
              <c:numCache/>
            </c:numRef>
          </c:yVal>
        </c:ser>
        <c:ser>
          <c:idx val="4"/>
          <c:order val="4"/>
          <c:tx>
            <c:v>2014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Base_Indem_Sev!$B$63:$N$63</c:f>
            </c:numRef>
          </c:xVal>
          <c:yVal>
            <c:numRef>
              <c:f>Base_Indem_Sev!$B$71:$N$71</c:f>
              <c:numCache/>
            </c:numRef>
          </c:yVal>
        </c:ser>
        <c:ser>
          <c:idx val="5"/>
          <c:order val="5"/>
          <c:tx>
            <c:v>Selected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Base_Indem_Sev!$B$63:$N$63</c:f>
            </c:numRef>
          </c:xVal>
          <c:yVal>
            <c:numRef>
              <c:f>Base_Indem_Sev!$B$49:$N$49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567953"/>
        <c:axId val="2006639991"/>
      </c:scatterChart>
      <c:valAx>
        <c:axId val="20555679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6639991"/>
        <c:majorUnit val="12.0"/>
      </c:valAx>
      <c:valAx>
        <c:axId val="2006639991"/>
        <c:scaling>
          <c:orientation val="minMax"/>
          <c:min val="0.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567953"/>
        <c:majorUnit val="0.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Paid Severity LDFs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2010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Base_Indem_Sev!$Q$63:$AC$63</c:f>
            </c:numRef>
          </c:xVal>
          <c:yVal>
            <c:numRef>
              <c:f>Base_Indem_Sev!$Q$67:$AC$67</c:f>
              <c:numCache/>
            </c:numRef>
          </c:yVal>
        </c:ser>
        <c:ser>
          <c:idx val="1"/>
          <c:order val="1"/>
          <c:tx>
            <c:v>2011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Base_Indem_Sev!$Q$63:$AC$63</c:f>
            </c:numRef>
          </c:xVal>
          <c:yVal>
            <c:numRef>
              <c:f>Base_Indem_Sev!$Q$68:$AC$68</c:f>
              <c:numCache/>
            </c:numRef>
          </c:yVal>
        </c:ser>
        <c:ser>
          <c:idx val="2"/>
          <c:order val="2"/>
          <c:tx>
            <c:v>2012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Base_Indem_Sev!$Q$63:$AC$63</c:f>
            </c:numRef>
          </c:xVal>
          <c:yVal>
            <c:numRef>
              <c:f>Base_Indem_Sev!$Q$69:$AC$69</c:f>
              <c:numCache/>
            </c:numRef>
          </c:yVal>
        </c:ser>
        <c:ser>
          <c:idx val="3"/>
          <c:order val="3"/>
          <c:tx>
            <c:v>2013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Base_Indem_Sev!$Q$63:$AC$63</c:f>
            </c:numRef>
          </c:xVal>
          <c:yVal>
            <c:numRef>
              <c:f>Base_Indem_Sev!$Q$70:$AC$70</c:f>
              <c:numCache/>
            </c:numRef>
          </c:yVal>
        </c:ser>
        <c:ser>
          <c:idx val="4"/>
          <c:order val="4"/>
          <c:tx>
            <c:v>2014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Base_Indem_Sev!$Q$63:$AC$63</c:f>
            </c:numRef>
          </c:xVal>
          <c:yVal>
            <c:numRef>
              <c:f>Base_Indem_Sev!$Q$71:$AC$71</c:f>
              <c:numCache/>
            </c:numRef>
          </c:yVal>
        </c:ser>
        <c:ser>
          <c:idx val="5"/>
          <c:order val="5"/>
          <c:tx>
            <c:v>Selected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Base_Indem_Sev!$Q$63:$AC$63</c:f>
            </c:numRef>
          </c:xVal>
          <c:yVal>
            <c:numRef>
              <c:f>Base_Indem_Sev!$Q$49:$AC$49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460294"/>
        <c:axId val="1015950138"/>
      </c:scatterChart>
      <c:valAx>
        <c:axId val="17454602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5950138"/>
        <c:majorUnit val="12.0"/>
      </c:valAx>
      <c:valAx>
        <c:axId val="1015950138"/>
        <c:scaling>
          <c:orientation val="minMax"/>
          <c:min val="0.600000000000000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5460294"/>
        <c:majorUnit val="0.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Incurred Severity LDFs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2010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Base_Med_Sev!$B$63:$N$63</c:f>
            </c:numRef>
          </c:xVal>
          <c:yVal>
            <c:numRef>
              <c:f>Base_Med_Sev!$B$67:$N$67</c:f>
              <c:numCache/>
            </c:numRef>
          </c:yVal>
        </c:ser>
        <c:ser>
          <c:idx val="1"/>
          <c:order val="1"/>
          <c:tx>
            <c:v>2011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Base_Med_Sev!$B$63:$N$63</c:f>
            </c:numRef>
          </c:xVal>
          <c:yVal>
            <c:numRef>
              <c:f>Base_Med_Sev!$B$68:$N$68</c:f>
              <c:numCache/>
            </c:numRef>
          </c:yVal>
        </c:ser>
        <c:ser>
          <c:idx val="2"/>
          <c:order val="2"/>
          <c:tx>
            <c:v>2012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Base_Med_Sev!$B$63:$N$63</c:f>
            </c:numRef>
          </c:xVal>
          <c:yVal>
            <c:numRef>
              <c:f>Base_Med_Sev!$B$69:$N$69</c:f>
              <c:numCache/>
            </c:numRef>
          </c:yVal>
        </c:ser>
        <c:ser>
          <c:idx val="3"/>
          <c:order val="3"/>
          <c:tx>
            <c:v>2013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Base_Med_Sev!$B$63:$N$63</c:f>
            </c:numRef>
          </c:xVal>
          <c:yVal>
            <c:numRef>
              <c:f>Base_Med_Sev!$B$70:$N$70</c:f>
              <c:numCache/>
            </c:numRef>
          </c:yVal>
        </c:ser>
        <c:ser>
          <c:idx val="4"/>
          <c:order val="4"/>
          <c:tx>
            <c:v>2014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Base_Med_Sev!$B$63:$N$63</c:f>
            </c:numRef>
          </c:xVal>
          <c:yVal>
            <c:numRef>
              <c:f>Base_Med_Sev!$B$71:$N$71</c:f>
              <c:numCache/>
            </c:numRef>
          </c:yVal>
        </c:ser>
        <c:ser>
          <c:idx val="5"/>
          <c:order val="5"/>
          <c:tx>
            <c:v>Selected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Base_Med_Sev!$B$63:$N$63</c:f>
            </c:numRef>
          </c:xVal>
          <c:yVal>
            <c:numRef>
              <c:f>Base_Med_Sev!$B$49:$N$49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10661"/>
        <c:axId val="1277933884"/>
      </c:scatterChart>
      <c:valAx>
        <c:axId val="4038106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933884"/>
        <c:majorUnit val="12.0"/>
      </c:valAx>
      <c:valAx>
        <c:axId val="1277933884"/>
        <c:scaling>
          <c:orientation val="minMax"/>
          <c:max val="1.3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3810661"/>
        <c:majorUnit val="0.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Paid Severity LDFs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2010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Base_Med_Sev!$Q$63:$AC$63</c:f>
            </c:numRef>
          </c:xVal>
          <c:yVal>
            <c:numRef>
              <c:f>Base_Med_Sev!$Q$67:$AC$67</c:f>
              <c:numCache/>
            </c:numRef>
          </c:yVal>
        </c:ser>
        <c:ser>
          <c:idx val="1"/>
          <c:order val="1"/>
          <c:tx>
            <c:v>2011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Base_Med_Sev!$Q$63:$AC$63</c:f>
            </c:numRef>
          </c:xVal>
          <c:yVal>
            <c:numRef>
              <c:f>Base_Med_Sev!$Q$68:$AC$68</c:f>
              <c:numCache/>
            </c:numRef>
          </c:yVal>
        </c:ser>
        <c:ser>
          <c:idx val="2"/>
          <c:order val="2"/>
          <c:tx>
            <c:v>2012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Base_Med_Sev!$Q$63:$AC$63</c:f>
            </c:numRef>
          </c:xVal>
          <c:yVal>
            <c:numRef>
              <c:f>Base_Med_Sev!$Q$69:$AC$69</c:f>
              <c:numCache/>
            </c:numRef>
          </c:yVal>
        </c:ser>
        <c:ser>
          <c:idx val="3"/>
          <c:order val="3"/>
          <c:tx>
            <c:v>2013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Base_Med_Sev!$Q$63:$AC$63</c:f>
            </c:numRef>
          </c:xVal>
          <c:yVal>
            <c:numRef>
              <c:f>Base_Med_Sev!$Q$70:$AC$70</c:f>
              <c:numCache/>
            </c:numRef>
          </c:yVal>
        </c:ser>
        <c:ser>
          <c:idx val="4"/>
          <c:order val="4"/>
          <c:tx>
            <c:v>2014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Base_Med_Sev!$Q$63:$AC$63</c:f>
            </c:numRef>
          </c:xVal>
          <c:yVal>
            <c:numRef>
              <c:f>Base_Med_Sev!$Q$71:$AC$71</c:f>
              <c:numCache/>
            </c:numRef>
          </c:yVal>
        </c:ser>
        <c:ser>
          <c:idx val="5"/>
          <c:order val="5"/>
          <c:tx>
            <c:v>Selected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Base_Med_Sev!$Q$63:$AC$63</c:f>
            </c:numRef>
          </c:xVal>
          <c:yVal>
            <c:numRef>
              <c:f>Base_Med_Sev!$Q$49:$AC$49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195127"/>
        <c:axId val="1240057277"/>
      </c:scatterChart>
      <c:valAx>
        <c:axId val="17161951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0057277"/>
        <c:majorUnit val="12.0"/>
      </c:valAx>
      <c:valAx>
        <c:axId val="1240057277"/>
        <c:scaling>
          <c:orientation val="minMax"/>
          <c:min val="0.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6195127"/>
        <c:majorUnit val="0.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18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790575</xdr:colOff>
      <xdr:row>15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14</xdr:row>
      <xdr:rowOff>95250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581025</xdr:colOff>
      <xdr:row>14</xdr:row>
      <xdr:rowOff>95250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2943225</xdr:colOff>
      <xdr:row>33</xdr:row>
      <xdr:rowOff>114300</xdr:rowOff>
    </xdr:from>
    <xdr:ext cx="4705350" cy="1314450"/>
    <xdr:pic>
      <xdr:nvPicPr>
        <xdr:cNvPr descr="CAS Student Central Logo blue tag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71</xdr:row>
      <xdr:rowOff>142875</xdr:rowOff>
    </xdr:from>
    <xdr:ext cx="8982075" cy="29622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95250</xdr:colOff>
      <xdr:row>72</xdr:row>
      <xdr:rowOff>28575</xdr:rowOff>
    </xdr:from>
    <xdr:ext cx="8248650" cy="30099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219075</xdr:colOff>
      <xdr:row>72</xdr:row>
      <xdr:rowOff>0</xdr:rowOff>
    </xdr:from>
    <xdr:ext cx="8172450" cy="33051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66675</xdr:colOff>
      <xdr:row>72</xdr:row>
      <xdr:rowOff>19050</xdr:rowOff>
    </xdr:from>
    <xdr:ext cx="8162925" cy="330517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</xdr:colOff>
      <xdr:row>8</xdr:row>
      <xdr:rowOff>66675</xdr:rowOff>
    </xdr:from>
    <xdr:ext cx="4905375" cy="264795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72</xdr:row>
      <xdr:rowOff>0</xdr:rowOff>
    </xdr:from>
    <xdr:ext cx="8820150" cy="311467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95250</xdr:colOff>
      <xdr:row>71</xdr:row>
      <xdr:rowOff>152400</xdr:rowOff>
    </xdr:from>
    <xdr:ext cx="9820275" cy="31337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72</xdr:row>
      <xdr:rowOff>19050</xdr:rowOff>
    </xdr:from>
    <xdr:ext cx="8943975" cy="300037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114300</xdr:colOff>
      <xdr:row>72</xdr:row>
      <xdr:rowOff>9525</xdr:rowOff>
    </xdr:from>
    <xdr:ext cx="9801225" cy="300037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casact.org/library/studynotes/Friedland_estimating.pdf" TargetMode="External"/><Relationship Id="rId2" Type="http://schemas.openxmlformats.org/officeDocument/2006/relationships/hyperlink" Target="http://www.casact.org/library/studynotes/Friedland_estimating.pdf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1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f>Base_Indem_Tri!B48</f>
        <v>1.403131462</v>
      </c>
      <c r="C2" s="2">
        <f>Base_Med_Tri!B48</f>
        <v>1.2860574</v>
      </c>
    </row>
    <row r="3">
      <c r="A3" s="1" t="s">
        <v>4</v>
      </c>
      <c r="B3" s="2">
        <f>Base_Indem_Tri!C48</f>
        <v>1.123187795</v>
      </c>
      <c r="C3" s="2">
        <f>Base_Med_Tri!C48</f>
        <v>1.021573705</v>
      </c>
    </row>
    <row r="4">
      <c r="A4" s="1" t="s">
        <v>5</v>
      </c>
      <c r="B4" s="2">
        <f>Base_Indem_Tri!D48</f>
        <v>1.03303053</v>
      </c>
      <c r="C4" s="2">
        <f>Base_Med_Tri!D48</f>
        <v>0.9877483821</v>
      </c>
    </row>
    <row r="5">
      <c r="A5" s="1" t="s">
        <v>6</v>
      </c>
      <c r="B5" s="2">
        <f>Base_Indem_Tri!E48</f>
        <v>1.0012</v>
      </c>
      <c r="C5" s="2">
        <f>Base_Med_Tri!E48</f>
        <v>0.985</v>
      </c>
    </row>
    <row r="6">
      <c r="A6" s="1" t="s">
        <v>7</v>
      </c>
      <c r="B6" s="2">
        <f>Base_Indem_Tri!F48</f>
        <v>0.9952</v>
      </c>
      <c r="C6" s="2">
        <f>Base_Med_Tri!F48</f>
        <v>0.9908499654</v>
      </c>
    </row>
    <row r="7">
      <c r="A7" s="1" t="s">
        <v>8</v>
      </c>
      <c r="B7" s="2">
        <f>Base_Indem_Tri!G48</f>
        <v>0.9952</v>
      </c>
      <c r="C7" s="2">
        <f>Base_Med_Tri!G48</f>
        <v>0.986</v>
      </c>
    </row>
    <row r="8">
      <c r="A8" s="1" t="s">
        <v>9</v>
      </c>
      <c r="B8" s="2">
        <f>Base_Indem_Tri!H48</f>
        <v>0.9948</v>
      </c>
      <c r="C8" s="2">
        <f>Base_Med_Tri!H48</f>
        <v>1.0006</v>
      </c>
    </row>
    <row r="9">
      <c r="A9" s="1" t="s">
        <v>10</v>
      </c>
      <c r="B9" s="2">
        <f>Base_Indem_Tri!I48</f>
        <v>1.012228536</v>
      </c>
      <c r="C9" s="2">
        <f>Base_Med_Tri!I48</f>
        <v>1.035269064</v>
      </c>
    </row>
    <row r="10">
      <c r="A10" s="1" t="s">
        <v>11</v>
      </c>
      <c r="B10" s="2">
        <f>Base_Indem_Tri!J48</f>
        <v>1.007376529</v>
      </c>
      <c r="C10" s="2">
        <f>Base_Med_Tri!J48</f>
        <v>1.02489086</v>
      </c>
    </row>
    <row r="11">
      <c r="A11" s="1" t="s">
        <v>12</v>
      </c>
      <c r="B11" s="2">
        <f>Base_Indem_Tri!K48</f>
        <v>1.000122752</v>
      </c>
      <c r="C11" s="2">
        <f>Base_Med_Tri!K48</f>
        <v>1.005128732</v>
      </c>
    </row>
    <row r="12">
      <c r="A12" s="1" t="s">
        <v>13</v>
      </c>
      <c r="B12" s="2">
        <f>Base_Indem_Tri!L48</f>
        <v>1.005458933</v>
      </c>
      <c r="C12" s="2">
        <f>Base_Med_Tri!L48</f>
        <v>1.005723988</v>
      </c>
    </row>
    <row r="13">
      <c r="A13" s="1" t="s">
        <v>14</v>
      </c>
      <c r="B13" s="2">
        <f>Base_Indem_Tri!M48</f>
        <v>0.9900990099</v>
      </c>
      <c r="C13" s="2">
        <f>Base_Med_Tri!M48</f>
        <v>0.9900990099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</row>
    <row r="2">
      <c r="A2" s="3">
        <v>46015.0</v>
      </c>
      <c r="B2" s="2">
        <f>Base_Indem_Tri!Q48</f>
        <v>2.882307531</v>
      </c>
      <c r="C2" s="2">
        <f>Base_Med_Tri!Q48</f>
        <v>1.964578973</v>
      </c>
    </row>
    <row r="3">
      <c r="A3" s="1" t="s">
        <v>15</v>
      </c>
      <c r="B3" s="2">
        <f>Base_Indem_Tri!R48</f>
        <v>1.538463877</v>
      </c>
      <c r="C3" s="2">
        <f>Base_Med_Tri!R48</f>
        <v>1.119577259</v>
      </c>
    </row>
    <row r="4">
      <c r="A4" s="1" t="s">
        <v>16</v>
      </c>
      <c r="B4" s="2">
        <f>Base_Indem_Tri!S48</f>
        <v>1.230038104</v>
      </c>
      <c r="C4" s="2">
        <f>Base_Med_Tri!S48</f>
        <v>1.052076894</v>
      </c>
    </row>
    <row r="5">
      <c r="A5" s="1" t="s">
        <v>17</v>
      </c>
      <c r="B5" s="2">
        <f>Base_Indem_Tri!T48</f>
        <v>1.1204</v>
      </c>
      <c r="C5" s="2">
        <f>Base_Med_Tri!T48</f>
        <v>1.0184</v>
      </c>
    </row>
    <row r="6">
      <c r="A6" s="1" t="s">
        <v>18</v>
      </c>
      <c r="B6" s="2">
        <f>Base_Indem_Tri!U48</f>
        <v>1.0608</v>
      </c>
      <c r="C6" s="2">
        <f>Base_Med_Tri!U48</f>
        <v>1.0096</v>
      </c>
    </row>
    <row r="7">
      <c r="A7" s="1" t="s">
        <v>19</v>
      </c>
      <c r="B7" s="2">
        <f>Base_Indem_Tri!V48</f>
        <v>1.0318</v>
      </c>
      <c r="C7" s="2">
        <f>Base_Med_Tri!V48</f>
        <v>1.0044</v>
      </c>
    </row>
    <row r="8">
      <c r="A8" s="1" t="s">
        <v>20</v>
      </c>
      <c r="B8" s="2">
        <f>Base_Indem_Tri!W48</f>
        <v>1.0188</v>
      </c>
      <c r="C8" s="2">
        <f>Base_Med_Tri!W48</f>
        <v>1.0046</v>
      </c>
    </row>
    <row r="9">
      <c r="A9" s="1" t="s">
        <v>21</v>
      </c>
      <c r="B9" s="2">
        <f>Base_Indem_Tri!X48</f>
        <v>1.020323396</v>
      </c>
      <c r="C9" s="2">
        <f>Base_Med_Tri!X48</f>
        <v>1.024300263</v>
      </c>
    </row>
    <row r="10">
      <c r="A10" s="1" t="s">
        <v>22</v>
      </c>
      <c r="B10" s="2">
        <f>Base_Indem_Tri!Y48</f>
        <v>1.018618727</v>
      </c>
      <c r="C10" s="2">
        <f>Base_Med_Tri!Y48</f>
        <v>1.022697003</v>
      </c>
    </row>
    <row r="11">
      <c r="A11" s="1" t="s">
        <v>23</v>
      </c>
      <c r="B11" s="2">
        <f>Base_Indem_Tri!Z48</f>
        <v>1.015639154</v>
      </c>
      <c r="C11" s="2">
        <f>Base_Med_Tri!Z48</f>
        <v>1.020445496</v>
      </c>
    </row>
    <row r="12">
      <c r="A12" s="1" t="s">
        <v>24</v>
      </c>
      <c r="B12" s="2">
        <f>Base_Indem_Tri!AA48</f>
        <v>1.020422301</v>
      </c>
      <c r="C12" s="2">
        <f>Base_Med_Tri!AA48</f>
        <v>1.021877454</v>
      </c>
    </row>
    <row r="13">
      <c r="A13" s="1" t="s">
        <v>25</v>
      </c>
      <c r="B13" s="2">
        <f>Base_Indem_Tri!AB48</f>
        <v>1.006998686</v>
      </c>
      <c r="C13" s="2">
        <f>Base_Med_Tri!AB48</f>
        <v>1.024949069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5.38"/>
    <col customWidth="1" min="3" max="3" width="15.5"/>
    <col customWidth="1" min="6" max="6" width="24.25"/>
    <col customWidth="1" min="7" max="7" width="16.13"/>
    <col customWidth="1" min="8" max="8" width="15.5"/>
  </cols>
  <sheetData>
    <row r="1">
      <c r="F1" s="4" t="s">
        <v>26</v>
      </c>
      <c r="G1" s="4" t="s">
        <v>27</v>
      </c>
      <c r="H1" s="4" t="s">
        <v>28</v>
      </c>
      <c r="I1" s="1" t="s">
        <v>29</v>
      </c>
    </row>
    <row r="2">
      <c r="B2" s="5"/>
      <c r="C2" s="5"/>
      <c r="D2" s="6"/>
      <c r="F2" s="7">
        <v>46015.0</v>
      </c>
      <c r="G2" s="4">
        <v>1.4031</v>
      </c>
      <c r="H2" s="4">
        <v>1.3848</v>
      </c>
      <c r="I2" s="8">
        <f t="shared" ref="I2:I13" si="1">G2-H2</f>
        <v>0.0183</v>
      </c>
    </row>
    <row r="3">
      <c r="B3" s="5"/>
      <c r="C3" s="5"/>
      <c r="D3" s="6"/>
      <c r="F3" s="4" t="s">
        <v>15</v>
      </c>
      <c r="G3" s="4">
        <v>1.1232</v>
      </c>
      <c r="H3" s="4">
        <v>1.1178</v>
      </c>
      <c r="I3" s="8">
        <f t="shared" si="1"/>
        <v>0.0054</v>
      </c>
    </row>
    <row r="4">
      <c r="B4" s="5"/>
      <c r="C4" s="5"/>
      <c r="D4" s="6"/>
      <c r="F4" s="4" t="s">
        <v>16</v>
      </c>
      <c r="G4" s="4">
        <v>1.033</v>
      </c>
      <c r="H4" s="4">
        <v>1.0328</v>
      </c>
      <c r="I4" s="8">
        <f t="shared" si="1"/>
        <v>0.0002</v>
      </c>
    </row>
    <row r="5">
      <c r="B5" s="5"/>
      <c r="C5" s="5"/>
      <c r="D5" s="5"/>
      <c r="F5" s="4" t="s">
        <v>17</v>
      </c>
      <c r="G5" s="4">
        <v>1.0012</v>
      </c>
      <c r="H5" s="4">
        <v>1.0012</v>
      </c>
      <c r="I5" s="8">
        <f t="shared" si="1"/>
        <v>0</v>
      </c>
    </row>
    <row r="6">
      <c r="B6" s="5"/>
      <c r="C6" s="5"/>
      <c r="D6" s="5"/>
      <c r="F6" s="4" t="s">
        <v>18</v>
      </c>
      <c r="G6" s="4">
        <v>0.9952</v>
      </c>
      <c r="H6" s="4">
        <v>0.9952</v>
      </c>
      <c r="I6" s="8">
        <f t="shared" si="1"/>
        <v>0</v>
      </c>
    </row>
    <row r="7">
      <c r="F7" s="4" t="s">
        <v>19</v>
      </c>
      <c r="G7" s="4">
        <v>0.9952</v>
      </c>
      <c r="H7" s="4">
        <v>0.9952</v>
      </c>
      <c r="I7" s="8">
        <f t="shared" si="1"/>
        <v>0</v>
      </c>
    </row>
    <row r="8">
      <c r="F8" s="4" t="s">
        <v>20</v>
      </c>
      <c r="G8" s="4">
        <v>0.9948</v>
      </c>
      <c r="H8" s="4">
        <v>0.9948</v>
      </c>
      <c r="I8" s="8">
        <f t="shared" si="1"/>
        <v>0</v>
      </c>
    </row>
    <row r="9">
      <c r="F9" s="4" t="s">
        <v>21</v>
      </c>
      <c r="G9" s="4">
        <v>1.0122</v>
      </c>
      <c r="H9" s="4">
        <v>1.0122</v>
      </c>
      <c r="I9" s="8">
        <f t="shared" si="1"/>
        <v>0</v>
      </c>
    </row>
    <row r="10">
      <c r="F10" s="4" t="s">
        <v>22</v>
      </c>
      <c r="G10" s="4">
        <v>1.0074</v>
      </c>
      <c r="H10" s="4">
        <v>1.0074</v>
      </c>
      <c r="I10" s="8">
        <f t="shared" si="1"/>
        <v>0</v>
      </c>
    </row>
    <row r="11">
      <c r="F11" s="4" t="s">
        <v>23</v>
      </c>
      <c r="G11" s="4">
        <v>1.0001</v>
      </c>
      <c r="H11" s="4">
        <v>1.0001</v>
      </c>
      <c r="I11" s="8">
        <f t="shared" si="1"/>
        <v>0</v>
      </c>
    </row>
    <row r="12">
      <c r="F12" s="4" t="s">
        <v>24</v>
      </c>
      <c r="G12" s="4">
        <v>1.0055</v>
      </c>
      <c r="H12" s="4">
        <v>1.0055</v>
      </c>
      <c r="I12" s="8">
        <f t="shared" si="1"/>
        <v>0</v>
      </c>
    </row>
    <row r="13">
      <c r="F13" s="4" t="s">
        <v>25</v>
      </c>
      <c r="G13" s="4">
        <v>0.9901</v>
      </c>
      <c r="H13" s="4">
        <v>0.9901</v>
      </c>
      <c r="I13" s="8">
        <f t="shared" si="1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8.88"/>
    <col customWidth="1" min="3" max="3" width="20.63"/>
    <col customWidth="1" min="4" max="4" width="45.88"/>
    <col customWidth="1" min="5" max="5" width="163.88"/>
    <col customWidth="1" min="6" max="26" width="8.88"/>
  </cols>
  <sheetData>
    <row r="1" ht="12.7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9"/>
      <c r="B2" s="10" t="s">
        <v>30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9"/>
      <c r="B4" s="9" t="s">
        <v>31</v>
      </c>
      <c r="C4" s="11" t="s">
        <v>32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9"/>
      <c r="B5" s="9"/>
      <c r="C5" s="11"/>
      <c r="D5" s="11"/>
      <c r="E5" s="11"/>
      <c r="F5" s="11"/>
      <c r="G5" s="11"/>
      <c r="H5" s="11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9"/>
      <c r="B6" s="9"/>
      <c r="C6" s="12" t="s">
        <v>33</v>
      </c>
      <c r="D6" s="13" t="s">
        <v>34</v>
      </c>
      <c r="E6" s="14" t="s">
        <v>35</v>
      </c>
      <c r="F6" s="11"/>
      <c r="G6" s="11"/>
      <c r="H6" s="11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9"/>
      <c r="B7" s="9"/>
      <c r="C7" s="15">
        <v>1.0</v>
      </c>
      <c r="D7" s="16" t="s">
        <v>36</v>
      </c>
      <c r="E7" s="14" t="s">
        <v>37</v>
      </c>
      <c r="F7" s="11"/>
      <c r="G7" s="11"/>
      <c r="H7" s="11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9"/>
      <c r="B8" s="9"/>
      <c r="C8" s="17"/>
      <c r="D8" s="17"/>
      <c r="E8" s="18" t="s">
        <v>38</v>
      </c>
      <c r="F8" s="11"/>
      <c r="G8" s="11"/>
      <c r="H8" s="11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9"/>
      <c r="B9" s="9"/>
      <c r="C9" s="19"/>
      <c r="D9" s="19"/>
      <c r="E9" s="20" t="s">
        <v>39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9"/>
      <c r="B10" s="9"/>
      <c r="C10" s="15">
        <v>2.0</v>
      </c>
      <c r="D10" s="16" t="s">
        <v>40</v>
      </c>
      <c r="E10" s="14" t="s">
        <v>41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9"/>
      <c r="B11" s="9"/>
      <c r="C11" s="17"/>
      <c r="D11" s="17"/>
      <c r="E11" s="20" t="s">
        <v>42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9"/>
      <c r="B12" s="9"/>
      <c r="C12" s="19"/>
      <c r="D12" s="19"/>
      <c r="E12" s="20" t="s">
        <v>43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9"/>
      <c r="B13" s="9"/>
      <c r="C13" s="21">
        <v>3.0</v>
      </c>
      <c r="D13" s="16" t="s">
        <v>44</v>
      </c>
      <c r="E13" s="14" t="s">
        <v>45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9"/>
      <c r="B14" s="9"/>
      <c r="C14" s="17"/>
      <c r="D14" s="17"/>
      <c r="E14" s="20" t="s">
        <v>46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9"/>
      <c r="B15" s="9"/>
      <c r="C15" s="19"/>
      <c r="D15" s="19"/>
      <c r="E15" s="20" t="s">
        <v>47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9"/>
      <c r="B16" s="9"/>
      <c r="C16" s="15">
        <v>4.0</v>
      </c>
      <c r="D16" s="16" t="s">
        <v>36</v>
      </c>
      <c r="E16" s="14" t="s">
        <v>48</v>
      </c>
      <c r="F16" s="11"/>
      <c r="G16" s="11"/>
      <c r="H16" s="1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9"/>
      <c r="B17" s="9"/>
      <c r="C17" s="17"/>
      <c r="D17" s="17"/>
      <c r="E17" s="22" t="s">
        <v>49</v>
      </c>
      <c r="F17" s="11"/>
      <c r="G17" s="11"/>
      <c r="H17" s="11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4.25" customHeight="1">
      <c r="A18" s="9"/>
      <c r="B18" s="9"/>
      <c r="C18" s="23"/>
      <c r="D18" s="23"/>
      <c r="E18" s="22" t="s">
        <v>50</v>
      </c>
      <c r="F18" s="11"/>
      <c r="G18" s="11"/>
      <c r="H18" s="11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9"/>
      <c r="B19" s="9"/>
      <c r="C19" s="24"/>
      <c r="D19" s="24"/>
      <c r="E19" s="24"/>
      <c r="F19" s="11"/>
      <c r="G19" s="11"/>
      <c r="H19" s="11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9"/>
      <c r="B20" s="9" t="s">
        <v>51</v>
      </c>
      <c r="C20" s="11" t="s">
        <v>52</v>
      </c>
      <c r="D20" s="11"/>
      <c r="E20" s="11"/>
      <c r="F20" s="11"/>
      <c r="G20" s="11"/>
      <c r="H20" s="11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4.25" customHeight="1">
      <c r="A21" s="9"/>
      <c r="B21" s="9"/>
      <c r="C21" s="11"/>
      <c r="D21" s="11"/>
      <c r="E21" s="11"/>
      <c r="F21" s="11"/>
      <c r="G21" s="11"/>
      <c r="H21" s="11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4.25" customHeight="1">
      <c r="A22" s="9"/>
      <c r="B22" s="9"/>
      <c r="C22" s="12" t="s">
        <v>33</v>
      </c>
      <c r="D22" s="13" t="s">
        <v>34</v>
      </c>
      <c r="E22" s="14" t="s">
        <v>35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4.25" customHeight="1">
      <c r="A23" s="9"/>
      <c r="B23" s="9"/>
      <c r="C23" s="21">
        <v>1.0</v>
      </c>
      <c r="D23" s="21" t="s">
        <v>53</v>
      </c>
      <c r="E23" s="14" t="s">
        <v>54</v>
      </c>
      <c r="F23" s="11"/>
      <c r="G23" s="11"/>
      <c r="H23" s="11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9"/>
      <c r="B24" s="9"/>
      <c r="C24" s="17"/>
      <c r="D24" s="17"/>
      <c r="E24" s="18" t="s">
        <v>38</v>
      </c>
      <c r="F24" s="11"/>
      <c r="G24" s="11"/>
      <c r="H24" s="1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4.25" customHeight="1">
      <c r="A25" s="9"/>
      <c r="B25" s="9"/>
      <c r="C25" s="19"/>
      <c r="D25" s="19"/>
      <c r="E25" s="20" t="s">
        <v>39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4.25" customHeight="1">
      <c r="A26" s="9"/>
      <c r="B26" s="9"/>
      <c r="C26" s="12">
        <v>2.0</v>
      </c>
      <c r="D26" s="25" t="s">
        <v>55</v>
      </c>
      <c r="E26" s="26" t="s">
        <v>56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9"/>
      <c r="B27" s="9"/>
      <c r="C27" s="21">
        <v>3.0</v>
      </c>
      <c r="D27" s="25"/>
      <c r="E27" s="26" t="s">
        <v>57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9"/>
      <c r="B28" s="9"/>
      <c r="C28" s="19"/>
      <c r="D28" s="27" t="s">
        <v>58</v>
      </c>
      <c r="E28" s="28" t="s">
        <v>59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"/>
      <c r="B29" s="9"/>
      <c r="C29" s="15">
        <v>4.0</v>
      </c>
      <c r="D29" s="16" t="s">
        <v>60</v>
      </c>
      <c r="E29" s="26" t="s">
        <v>61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"/>
      <c r="B30" s="9"/>
      <c r="C30" s="19"/>
      <c r="D30" s="19"/>
      <c r="E30" s="28" t="s">
        <v>59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9"/>
      <c r="B31" s="9"/>
      <c r="C31" s="15">
        <v>5.0</v>
      </c>
      <c r="D31" s="16" t="s">
        <v>53</v>
      </c>
      <c r="E31" s="14" t="s">
        <v>62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9"/>
      <c r="C32" s="19"/>
      <c r="D32" s="19"/>
      <c r="E32" s="22" t="s">
        <v>63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9"/>
      <c r="C33" s="9"/>
      <c r="D33" s="9"/>
      <c r="E33" s="2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4.2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4.25" customHeight="1">
      <c r="A37" s="9"/>
      <c r="B37" s="3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4.2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4.25" customHeight="1">
      <c r="A39" s="9"/>
      <c r="B39" s="30"/>
      <c r="C39" s="31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4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4.25" customHeight="1">
      <c r="A41" s="9"/>
      <c r="B41" s="9"/>
      <c r="C41" s="31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4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4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4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4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4.25" customHeight="1">
      <c r="A46" s="9"/>
      <c r="B46" s="30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4.25" customHeight="1">
      <c r="A47" s="32"/>
      <c r="B47" s="32"/>
      <c r="C47" s="9"/>
      <c r="D47" s="9"/>
      <c r="E47" s="9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4.2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4.2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4.2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4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2.75" customHeight="1">
      <c r="A52" s="9"/>
      <c r="B52" s="9"/>
      <c r="C52" s="32"/>
      <c r="D52" s="32"/>
      <c r="E52" s="32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5">
    <mergeCell ref="C16:C18"/>
    <mergeCell ref="C23:C25"/>
    <mergeCell ref="D23:D25"/>
    <mergeCell ref="C27:C28"/>
    <mergeCell ref="C29:C30"/>
    <mergeCell ref="D29:D30"/>
    <mergeCell ref="C31:C32"/>
    <mergeCell ref="D31:D32"/>
    <mergeCell ref="C7:C9"/>
    <mergeCell ref="D7:D9"/>
    <mergeCell ref="C10:C12"/>
    <mergeCell ref="D10:D12"/>
    <mergeCell ref="C13:C15"/>
    <mergeCell ref="D13:D15"/>
    <mergeCell ref="D16:D18"/>
  </mergeCells>
  <hyperlinks>
    <hyperlink r:id="rId1" ref="E8"/>
    <hyperlink r:id="rId2" ref="E24"/>
  </hyperlinks>
  <printOptions/>
  <pageMargins bottom="0.25" footer="0.0" header="0.0" left="0.2" right="0.2" top="0.25"/>
  <pageSetup orientation="landscape"/>
  <headerFooter>
    <oddFooter>&amp;C© 2014 by the Casualty Actuarial Society. All rights reserved.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 fitToPage="1"/>
  </sheetPr>
  <sheetViews>
    <sheetView workbookViewId="0"/>
  </sheetViews>
  <sheetFormatPr customHeight="1" defaultColWidth="12.63" defaultRowHeight="15.0"/>
  <cols>
    <col customWidth="1" min="1" max="2" width="9.13"/>
    <col customWidth="1" min="3" max="5" width="11.5"/>
    <col customWidth="1" min="6" max="6" width="12.38"/>
    <col customWidth="1" min="7" max="8" width="11.5"/>
    <col customWidth="1" min="9" max="10" width="8.88"/>
    <col customWidth="1" min="11" max="11" width="11.5"/>
    <col customWidth="1" min="12" max="13" width="9.38"/>
    <col customWidth="1" min="14" max="14" width="10.5"/>
    <col customWidth="1" min="15" max="15" width="9.13"/>
    <col customWidth="1" min="16" max="16" width="8.5"/>
    <col customWidth="1" min="17" max="17" width="11.5"/>
    <col customWidth="1" min="18" max="18" width="11.0"/>
    <col customWidth="1" min="19" max="19" width="10.88"/>
    <col customWidth="1" min="20" max="20" width="15.88"/>
    <col customWidth="1" min="21" max="21" width="9.13"/>
    <col customWidth="1" min="22" max="22" width="10.0"/>
    <col customWidth="1" min="23" max="23" width="11.0"/>
    <col customWidth="1" min="24" max="24" width="10.88"/>
    <col customWidth="1" min="25" max="25" width="15.88"/>
    <col customWidth="1" min="26" max="26" width="9.13"/>
  </cols>
  <sheetData>
    <row r="1" ht="12.7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75" customHeight="1">
      <c r="A2" s="11"/>
      <c r="B2" s="33" t="s">
        <v>64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11"/>
      <c r="B3" s="33" t="s">
        <v>65</v>
      </c>
      <c r="C3" s="11"/>
      <c r="D3" s="11"/>
      <c r="E3" s="11"/>
      <c r="F3" s="34"/>
      <c r="G3" s="11"/>
      <c r="H3" s="11"/>
      <c r="I3" s="11"/>
      <c r="J3" s="11"/>
      <c r="K3" s="11"/>
      <c r="L3" s="11"/>
      <c r="M3" s="11"/>
      <c r="N3" s="11"/>
      <c r="O3" s="11"/>
      <c r="P3" s="11"/>
      <c r="Q3" s="33" t="s">
        <v>66</v>
      </c>
      <c r="R3" s="11"/>
      <c r="S3" s="11"/>
      <c r="T3" s="11"/>
      <c r="U3" s="11"/>
      <c r="V3" s="33" t="s">
        <v>66</v>
      </c>
      <c r="W3" s="11"/>
      <c r="X3" s="11"/>
      <c r="Y3" s="11"/>
      <c r="Z3" s="11"/>
    </row>
    <row r="4" ht="12.75" customHeight="1">
      <c r="A4" s="11"/>
      <c r="B4" s="11" t="s">
        <v>67</v>
      </c>
      <c r="C4" s="11"/>
      <c r="D4" s="11"/>
      <c r="E4" s="11"/>
      <c r="F4" s="35"/>
      <c r="G4" s="11"/>
      <c r="H4" s="11"/>
      <c r="I4" s="11"/>
      <c r="J4" s="11"/>
      <c r="K4" s="11"/>
      <c r="L4" s="11"/>
      <c r="M4" s="11"/>
      <c r="N4" s="11"/>
      <c r="O4" s="11"/>
      <c r="P4" s="11"/>
      <c r="Q4" s="33" t="s">
        <v>68</v>
      </c>
      <c r="R4" s="11"/>
      <c r="S4" s="11"/>
      <c r="T4" s="11"/>
      <c r="U4" s="11"/>
      <c r="V4" s="33" t="s">
        <v>69</v>
      </c>
      <c r="W4" s="11"/>
      <c r="X4" s="11"/>
      <c r="Y4" s="11"/>
      <c r="Z4" s="11"/>
    </row>
    <row r="5" ht="12.75" customHeight="1">
      <c r="A5" s="11"/>
      <c r="B5" s="11"/>
      <c r="C5" s="11"/>
      <c r="D5" s="11"/>
      <c r="E5" s="11"/>
      <c r="F5" s="34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1"/>
      <c r="B6" s="36"/>
      <c r="C6" s="36"/>
      <c r="D6" s="36"/>
      <c r="E6" s="36"/>
      <c r="F6" s="36" t="s">
        <v>70</v>
      </c>
      <c r="G6" s="37" t="s">
        <v>71</v>
      </c>
      <c r="H6" s="38"/>
      <c r="I6" s="37" t="s">
        <v>72</v>
      </c>
      <c r="J6" s="38"/>
      <c r="K6" s="39" t="s">
        <v>73</v>
      </c>
      <c r="L6" s="40"/>
      <c r="M6" s="40"/>
      <c r="N6" s="41"/>
      <c r="O6" s="11"/>
      <c r="P6" s="11"/>
      <c r="Q6" s="42" t="s">
        <v>74</v>
      </c>
      <c r="R6" s="43" t="s">
        <v>75</v>
      </c>
      <c r="S6" s="43" t="s">
        <v>76</v>
      </c>
      <c r="T6" s="44" t="s">
        <v>77</v>
      </c>
      <c r="U6" s="11"/>
      <c r="V6" s="42" t="s">
        <v>74</v>
      </c>
      <c r="W6" s="43" t="s">
        <v>75</v>
      </c>
      <c r="X6" s="43" t="s">
        <v>76</v>
      </c>
      <c r="Y6" s="44" t="s">
        <v>77</v>
      </c>
      <c r="Z6" s="11"/>
    </row>
    <row r="7" ht="12.75" customHeight="1">
      <c r="A7" s="11"/>
      <c r="B7" s="36" t="s">
        <v>74</v>
      </c>
      <c r="C7" s="36" t="s">
        <v>78</v>
      </c>
      <c r="D7" s="39" t="str">
        <f>"Claims at 12/31/" &amp; B23</f>
        <v>Claims at 12/31/2015</v>
      </c>
      <c r="E7" s="41"/>
      <c r="F7" s="36" t="s">
        <v>79</v>
      </c>
      <c r="G7" s="39" t="s">
        <v>80</v>
      </c>
      <c r="H7" s="41"/>
      <c r="I7" s="39" t="s">
        <v>81</v>
      </c>
      <c r="J7" s="41"/>
      <c r="K7" s="39" t="s">
        <v>82</v>
      </c>
      <c r="L7" s="41"/>
      <c r="M7" s="39" t="s">
        <v>83</v>
      </c>
      <c r="N7" s="41"/>
      <c r="O7" s="11"/>
      <c r="P7" s="11"/>
      <c r="Q7" s="45" t="s">
        <v>84</v>
      </c>
      <c r="R7" s="46" t="s">
        <v>85</v>
      </c>
      <c r="S7" s="46" t="s">
        <v>86</v>
      </c>
      <c r="T7" s="47" t="s">
        <v>87</v>
      </c>
      <c r="U7" s="11"/>
      <c r="V7" s="45" t="s">
        <v>84</v>
      </c>
      <c r="W7" s="46" t="s">
        <v>85</v>
      </c>
      <c r="X7" s="46" t="s">
        <v>86</v>
      </c>
      <c r="Y7" s="47" t="s">
        <v>87</v>
      </c>
      <c r="Z7" s="11"/>
    </row>
    <row r="8" ht="12.75" customHeight="1">
      <c r="A8" s="11"/>
      <c r="B8" s="48" t="s">
        <v>84</v>
      </c>
      <c r="C8" s="48" t="s">
        <v>88</v>
      </c>
      <c r="D8" s="48" t="s">
        <v>75</v>
      </c>
      <c r="E8" s="48" t="s">
        <v>89</v>
      </c>
      <c r="F8" s="48" t="str">
        <f>"At 12/31/" &amp; B23</f>
        <v>At 12/31/2015</v>
      </c>
      <c r="G8" s="48" t="s">
        <v>75</v>
      </c>
      <c r="H8" s="48" t="s">
        <v>89</v>
      </c>
      <c r="I8" s="48" t="s">
        <v>75</v>
      </c>
      <c r="J8" s="48" t="s">
        <v>89</v>
      </c>
      <c r="K8" s="48" t="s">
        <v>75</v>
      </c>
      <c r="L8" s="48" t="s">
        <v>89</v>
      </c>
      <c r="M8" s="48" t="s">
        <v>75</v>
      </c>
      <c r="N8" s="48" t="s">
        <v>89</v>
      </c>
      <c r="O8" s="11"/>
      <c r="P8" s="11"/>
      <c r="Q8" s="49">
        <f>Base_Indem_Tri!P8</f>
        <v>2003</v>
      </c>
      <c r="R8" s="50">
        <f>Base_Indem_Tri!AC8</f>
        <v>71881.089</v>
      </c>
      <c r="S8" s="51">
        <f>Base_Indem_Tri!$AC$57</f>
        <v>1</v>
      </c>
      <c r="T8" s="52">
        <f t="shared" ref="T8:T20" si="2">R8*S8</f>
        <v>71881.089</v>
      </c>
      <c r="U8" s="11"/>
      <c r="V8" s="49">
        <f t="shared" ref="V8:V20" si="3">Q8</f>
        <v>2003</v>
      </c>
      <c r="W8" s="50">
        <f>Base_Med_Tri!AC8</f>
        <v>74815.011</v>
      </c>
      <c r="X8" s="51">
        <f>Base_Med_Tri!$AC$57</f>
        <v>1</v>
      </c>
      <c r="Y8" s="52">
        <f t="shared" ref="Y8:Y20" si="4">W8*X8</f>
        <v>74815.011</v>
      </c>
      <c r="Z8" s="11"/>
    </row>
    <row r="9" ht="12.75" customHeight="1">
      <c r="A9" s="11"/>
      <c r="B9" s="53">
        <v>-1.0</v>
      </c>
      <c r="C9" s="53">
        <f t="shared" ref="C9:N9" si="1">B9-1</f>
        <v>-2</v>
      </c>
      <c r="D9" s="53">
        <f t="shared" si="1"/>
        <v>-3</v>
      </c>
      <c r="E9" s="53">
        <f t="shared" si="1"/>
        <v>-4</v>
      </c>
      <c r="F9" s="53">
        <f t="shared" si="1"/>
        <v>-5</v>
      </c>
      <c r="G9" s="53">
        <f t="shared" si="1"/>
        <v>-6</v>
      </c>
      <c r="H9" s="53">
        <f t="shared" si="1"/>
        <v>-7</v>
      </c>
      <c r="I9" s="53">
        <f t="shared" si="1"/>
        <v>-8</v>
      </c>
      <c r="J9" s="53">
        <f t="shared" si="1"/>
        <v>-9</v>
      </c>
      <c r="K9" s="53">
        <f t="shared" si="1"/>
        <v>-10</v>
      </c>
      <c r="L9" s="53">
        <f t="shared" si="1"/>
        <v>-11</v>
      </c>
      <c r="M9" s="53">
        <f t="shared" si="1"/>
        <v>-12</v>
      </c>
      <c r="N9" s="53">
        <f t="shared" si="1"/>
        <v>-13</v>
      </c>
      <c r="O9" s="11"/>
      <c r="P9" s="11"/>
      <c r="Q9" s="49">
        <f>Base_Indem_Tri!P9</f>
        <v>2004</v>
      </c>
      <c r="R9" s="50">
        <f>Base_Indem_Tri!AB9</f>
        <v>72728.84366</v>
      </c>
      <c r="S9" s="51">
        <f>Base_Indem_Tri!AB57</f>
        <v>1</v>
      </c>
      <c r="T9" s="52">
        <f t="shared" si="2"/>
        <v>72728.84366</v>
      </c>
      <c r="U9" s="11"/>
      <c r="V9" s="49">
        <f t="shared" si="3"/>
        <v>2004</v>
      </c>
      <c r="W9" s="50">
        <f>Base_Med_Tri!AB9</f>
        <v>74371.64668</v>
      </c>
      <c r="X9" s="51">
        <f>Base_Med_Tri!AB57</f>
        <v>1</v>
      </c>
      <c r="Y9" s="52">
        <f t="shared" si="4"/>
        <v>74371.64668</v>
      </c>
      <c r="Z9" s="11"/>
    </row>
    <row r="10" ht="12.75" customHeight="1">
      <c r="A10" s="11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11"/>
      <c r="P10" s="11"/>
      <c r="Q10" s="49">
        <f>Base_Indem_Tri!P10</f>
        <v>2005</v>
      </c>
      <c r="R10" s="50">
        <f>Base_Indem_Tri!AA10</f>
        <v>67848.68456</v>
      </c>
      <c r="S10" s="51">
        <f>Base_Indem_Tri!AA57</f>
        <v>1</v>
      </c>
      <c r="T10" s="52">
        <f t="shared" si="2"/>
        <v>67848.68456</v>
      </c>
      <c r="U10" s="11"/>
      <c r="V10" s="49">
        <f t="shared" si="3"/>
        <v>2005</v>
      </c>
      <c r="W10" s="50">
        <f>Base_Med_Tri!AA10</f>
        <v>75063.2193</v>
      </c>
      <c r="X10" s="51">
        <f>Base_Med_Tri!AA57</f>
        <v>1</v>
      </c>
      <c r="Y10" s="52">
        <f t="shared" si="4"/>
        <v>75063.2193</v>
      </c>
      <c r="Z10" s="11"/>
    </row>
    <row r="11" ht="12.75" customHeight="1">
      <c r="A11" s="11"/>
      <c r="B11" s="36">
        <f t="shared" ref="B11:B23" si="6">Q8</f>
        <v>2003</v>
      </c>
      <c r="C11" s="54">
        <v>206600.0</v>
      </c>
      <c r="D11" s="54">
        <f t="shared" ref="D11:D23" si="7">R8+W8</f>
        <v>146696.1</v>
      </c>
      <c r="E11" s="54">
        <f t="shared" ref="E11:E23" si="8">R28+W28</f>
        <v>146696.1</v>
      </c>
      <c r="F11" s="54">
        <f t="shared" ref="F11:F23" si="9">E11-D11</f>
        <v>0</v>
      </c>
      <c r="G11" s="54">
        <f t="shared" ref="G11:G23" si="10">T8+Y8</f>
        <v>146696.1</v>
      </c>
      <c r="H11" s="54">
        <f t="shared" ref="H11:H23" si="11">T28+Y28</f>
        <v>146696.1</v>
      </c>
      <c r="I11" s="55">
        <f t="shared" ref="I11:J11" si="5">G11/$C11</f>
        <v>0.7100488867</v>
      </c>
      <c r="J11" s="55">
        <f t="shared" si="5"/>
        <v>0.7100488867</v>
      </c>
      <c r="K11" s="54">
        <f t="shared" ref="K11:K23" si="13">G11-E11</f>
        <v>0</v>
      </c>
      <c r="L11" s="54">
        <f t="shared" ref="L11:L23" si="14">H11-E11</f>
        <v>0</v>
      </c>
      <c r="M11" s="54">
        <f t="shared" ref="M11:M23" si="15">K11+F11</f>
        <v>0</v>
      </c>
      <c r="N11" s="54">
        <f t="shared" ref="N11:N23" si="16">L11+F11</f>
        <v>0</v>
      </c>
      <c r="O11" s="11"/>
      <c r="P11" s="11"/>
      <c r="Q11" s="49">
        <f>Base_Indem_Tri!P11</f>
        <v>2006</v>
      </c>
      <c r="R11" s="50">
        <f>Base_Indem_Tri!Z11</f>
        <v>64300.66379</v>
      </c>
      <c r="S11" s="51">
        <f>Base_Indem_Tri!Z57</f>
        <v>1</v>
      </c>
      <c r="T11" s="52">
        <f t="shared" si="2"/>
        <v>64300.66379</v>
      </c>
      <c r="U11" s="11"/>
      <c r="V11" s="49">
        <f t="shared" si="3"/>
        <v>2006</v>
      </c>
      <c r="W11" s="50">
        <f>Base_Med_Tri!Z11</f>
        <v>73809.19651</v>
      </c>
      <c r="X11" s="51">
        <f>Base_Med_Tri!Z57</f>
        <v>1</v>
      </c>
      <c r="Y11" s="52">
        <f t="shared" si="4"/>
        <v>73809.19651</v>
      </c>
      <c r="Z11" s="11"/>
    </row>
    <row r="12" ht="12.75" customHeight="1">
      <c r="A12" s="11"/>
      <c r="B12" s="36">
        <f t="shared" si="6"/>
        <v>2004</v>
      </c>
      <c r="C12" s="54">
        <v>210500.0</v>
      </c>
      <c r="D12" s="54">
        <f t="shared" si="7"/>
        <v>147100.4903</v>
      </c>
      <c r="E12" s="54">
        <f t="shared" si="8"/>
        <v>150959.65</v>
      </c>
      <c r="F12" s="54">
        <f t="shared" si="9"/>
        <v>3859.159658</v>
      </c>
      <c r="G12" s="54">
        <f t="shared" si="10"/>
        <v>147100.4903</v>
      </c>
      <c r="H12" s="54">
        <f t="shared" si="11"/>
        <v>150959.65</v>
      </c>
      <c r="I12" s="55">
        <f t="shared" ref="I12:J12" si="12">G12/$C12</f>
        <v>0.698814681</v>
      </c>
      <c r="J12" s="55">
        <f t="shared" si="12"/>
        <v>0.717147981</v>
      </c>
      <c r="K12" s="54">
        <f t="shared" si="13"/>
        <v>-3859.159658</v>
      </c>
      <c r="L12" s="54">
        <f t="shared" si="14"/>
        <v>0</v>
      </c>
      <c r="M12" s="54">
        <f t="shared" si="15"/>
        <v>0</v>
      </c>
      <c r="N12" s="54">
        <f t="shared" si="16"/>
        <v>3859.159658</v>
      </c>
      <c r="O12" s="11"/>
      <c r="P12" s="11"/>
      <c r="Q12" s="49">
        <f>Base_Indem_Tri!P12</f>
        <v>2007</v>
      </c>
      <c r="R12" s="50">
        <f>Base_Indem_Tri!Y12</f>
        <v>64477.68452</v>
      </c>
      <c r="S12" s="51">
        <f>Base_Indem_Tri!Y57</f>
        <v>1</v>
      </c>
      <c r="T12" s="52">
        <f t="shared" si="2"/>
        <v>64477.68452</v>
      </c>
      <c r="U12" s="11"/>
      <c r="V12" s="49">
        <f t="shared" si="3"/>
        <v>2007</v>
      </c>
      <c r="W12" s="50">
        <f>Base_Med_Tri!Y12</f>
        <v>73620.28087</v>
      </c>
      <c r="X12" s="51">
        <f>Base_Med_Tri!Y57</f>
        <v>1</v>
      </c>
      <c r="Y12" s="52">
        <f t="shared" si="4"/>
        <v>73620.28087</v>
      </c>
      <c r="Z12" s="11"/>
    </row>
    <row r="13" ht="12.75" customHeight="1">
      <c r="A13" s="11"/>
      <c r="B13" s="36">
        <f t="shared" si="6"/>
        <v>2005</v>
      </c>
      <c r="C13" s="54">
        <v>215000.0</v>
      </c>
      <c r="D13" s="54">
        <f t="shared" si="7"/>
        <v>142911.9039</v>
      </c>
      <c r="E13" s="54">
        <f t="shared" si="8"/>
        <v>148987.1422</v>
      </c>
      <c r="F13" s="54">
        <f t="shared" si="9"/>
        <v>6075.238328</v>
      </c>
      <c r="G13" s="54">
        <f t="shared" si="10"/>
        <v>142911.9039</v>
      </c>
      <c r="H13" s="54">
        <f t="shared" si="11"/>
        <v>148987.1422</v>
      </c>
      <c r="I13" s="55">
        <f t="shared" ref="I13:J13" si="17">G13/$C13</f>
        <v>0.6647065296</v>
      </c>
      <c r="J13" s="55">
        <f t="shared" si="17"/>
        <v>0.692963452</v>
      </c>
      <c r="K13" s="54">
        <f t="shared" si="13"/>
        <v>-6075.238328</v>
      </c>
      <c r="L13" s="54">
        <f t="shared" si="14"/>
        <v>0</v>
      </c>
      <c r="M13" s="54">
        <f t="shared" si="15"/>
        <v>0</v>
      </c>
      <c r="N13" s="54">
        <f t="shared" si="16"/>
        <v>6075.238328</v>
      </c>
      <c r="O13" s="11"/>
      <c r="P13" s="11"/>
      <c r="Q13" s="49">
        <f>Base_Indem_Tri!P13</f>
        <v>2008</v>
      </c>
      <c r="R13" s="50">
        <f>Base_Indem_Tri!X13</f>
        <v>65727.56028</v>
      </c>
      <c r="S13" s="51">
        <f>Base_Indem_Tri!X57</f>
        <v>1</v>
      </c>
      <c r="T13" s="52">
        <f t="shared" si="2"/>
        <v>65727.56028</v>
      </c>
      <c r="U13" s="11"/>
      <c r="V13" s="49">
        <f t="shared" si="3"/>
        <v>2008</v>
      </c>
      <c r="W13" s="50">
        <f>Base_Med_Tri!X13</f>
        <v>71917.72975</v>
      </c>
      <c r="X13" s="51">
        <f>Base_Med_Tri!X57</f>
        <v>1</v>
      </c>
      <c r="Y13" s="52">
        <f t="shared" si="4"/>
        <v>71917.72975</v>
      </c>
      <c r="Z13" s="11"/>
    </row>
    <row r="14" ht="12.75" customHeight="1">
      <c r="A14" s="11"/>
      <c r="B14" s="36">
        <f t="shared" si="6"/>
        <v>2006</v>
      </c>
      <c r="C14" s="54">
        <v>225300.0</v>
      </c>
      <c r="D14" s="54">
        <f t="shared" si="7"/>
        <v>138109.8603</v>
      </c>
      <c r="E14" s="54">
        <f t="shared" si="8"/>
        <v>146037.7608</v>
      </c>
      <c r="F14" s="54">
        <f t="shared" si="9"/>
        <v>7927.900525</v>
      </c>
      <c r="G14" s="54">
        <f t="shared" si="10"/>
        <v>138109.8603</v>
      </c>
      <c r="H14" s="54">
        <f t="shared" si="11"/>
        <v>146037.7608</v>
      </c>
      <c r="I14" s="55">
        <f t="shared" ref="I14:J14" si="18">G14/$C14</f>
        <v>0.6130042624</v>
      </c>
      <c r="J14" s="55">
        <f t="shared" si="18"/>
        <v>0.6481924582</v>
      </c>
      <c r="K14" s="54">
        <f t="shared" si="13"/>
        <v>-7927.900525</v>
      </c>
      <c r="L14" s="54">
        <f t="shared" si="14"/>
        <v>0</v>
      </c>
      <c r="M14" s="54">
        <f t="shared" si="15"/>
        <v>0</v>
      </c>
      <c r="N14" s="54">
        <f t="shared" si="16"/>
        <v>7927.900525</v>
      </c>
      <c r="O14" s="11"/>
      <c r="P14" s="11"/>
      <c r="Q14" s="49">
        <f>Base_Indem_Tri!P14</f>
        <v>2009</v>
      </c>
      <c r="R14" s="50">
        <f>Base_Indem_Tri!W14</f>
        <v>68110.91004</v>
      </c>
      <c r="S14" s="51">
        <f>Base_Indem_Tri!W57</f>
        <v>1</v>
      </c>
      <c r="T14" s="52">
        <f t="shared" si="2"/>
        <v>68110.91004</v>
      </c>
      <c r="U14" s="11"/>
      <c r="V14" s="49">
        <f t="shared" si="3"/>
        <v>2009</v>
      </c>
      <c r="W14" s="50">
        <f>Base_Med_Tri!W14</f>
        <v>75516.22199</v>
      </c>
      <c r="X14" s="51">
        <f>Base_Med_Tri!W57</f>
        <v>1</v>
      </c>
      <c r="Y14" s="52">
        <f t="shared" si="4"/>
        <v>75516.22199</v>
      </c>
      <c r="Z14" s="11"/>
    </row>
    <row r="15" ht="12.75" customHeight="1">
      <c r="A15" s="11"/>
      <c r="B15" s="36">
        <f t="shared" si="6"/>
        <v>2007</v>
      </c>
      <c r="C15" s="54">
        <v>253500.0</v>
      </c>
      <c r="D15" s="54">
        <f t="shared" si="7"/>
        <v>138097.9654</v>
      </c>
      <c r="E15" s="54">
        <f t="shared" si="8"/>
        <v>146506.6852</v>
      </c>
      <c r="F15" s="54">
        <f t="shared" si="9"/>
        <v>8408.719764</v>
      </c>
      <c r="G15" s="54">
        <f t="shared" si="10"/>
        <v>138097.9654</v>
      </c>
      <c r="H15" s="54">
        <f t="shared" si="11"/>
        <v>146506.6852</v>
      </c>
      <c r="I15" s="55">
        <f t="shared" ref="I15:J15" si="19">G15/$C15</f>
        <v>0.5447651495</v>
      </c>
      <c r="J15" s="55">
        <f t="shared" si="19"/>
        <v>0.5779356416</v>
      </c>
      <c r="K15" s="54">
        <f t="shared" si="13"/>
        <v>-8408.719764</v>
      </c>
      <c r="L15" s="54">
        <f t="shared" si="14"/>
        <v>0</v>
      </c>
      <c r="M15" s="54">
        <f t="shared" si="15"/>
        <v>0</v>
      </c>
      <c r="N15" s="54">
        <f t="shared" si="16"/>
        <v>8408.719764</v>
      </c>
      <c r="O15" s="11"/>
      <c r="P15" s="11"/>
      <c r="Q15" s="49">
        <f>Base_Indem_Tri!P15</f>
        <v>2010</v>
      </c>
      <c r="R15" s="50">
        <f>Base_Indem_Tri!V15</f>
        <v>62485.19697</v>
      </c>
      <c r="S15" s="51">
        <f>Base_Indem_Tri!V57</f>
        <v>1</v>
      </c>
      <c r="T15" s="52">
        <f t="shared" si="2"/>
        <v>62485.19697</v>
      </c>
      <c r="U15" s="11"/>
      <c r="V15" s="49">
        <f t="shared" si="3"/>
        <v>2010</v>
      </c>
      <c r="W15" s="50">
        <f>Base_Med_Tri!V15</f>
        <v>73984.05287</v>
      </c>
      <c r="X15" s="51">
        <f>Base_Med_Tri!V57</f>
        <v>1</v>
      </c>
      <c r="Y15" s="52">
        <f t="shared" si="4"/>
        <v>73984.05287</v>
      </c>
      <c r="Z15" s="11"/>
    </row>
    <row r="16" ht="12.75" customHeight="1">
      <c r="A16" s="11"/>
      <c r="B16" s="36">
        <f t="shared" si="6"/>
        <v>2008</v>
      </c>
      <c r="C16" s="54">
        <v>253500.0</v>
      </c>
      <c r="D16" s="54">
        <f t="shared" si="7"/>
        <v>137645.29</v>
      </c>
      <c r="E16" s="54">
        <f t="shared" si="8"/>
        <v>146315.961</v>
      </c>
      <c r="F16" s="54">
        <f t="shared" si="9"/>
        <v>8670.671014</v>
      </c>
      <c r="G16" s="54">
        <f t="shared" si="10"/>
        <v>137645.29</v>
      </c>
      <c r="H16" s="54">
        <f t="shared" si="11"/>
        <v>146315.961</v>
      </c>
      <c r="I16" s="55">
        <f t="shared" ref="I16:J16" si="20">G16/$C16</f>
        <v>0.5429794478</v>
      </c>
      <c r="J16" s="55">
        <f t="shared" si="20"/>
        <v>0.5771832783</v>
      </c>
      <c r="K16" s="54">
        <f t="shared" si="13"/>
        <v>-8670.671014</v>
      </c>
      <c r="L16" s="54">
        <f t="shared" si="14"/>
        <v>0</v>
      </c>
      <c r="M16" s="54">
        <f t="shared" si="15"/>
        <v>0</v>
      </c>
      <c r="N16" s="54">
        <f t="shared" si="16"/>
        <v>8670.671014</v>
      </c>
      <c r="O16" s="11"/>
      <c r="P16" s="11"/>
      <c r="Q16" s="49">
        <f>Base_Indem_Tri!P16</f>
        <v>2011</v>
      </c>
      <c r="R16" s="50">
        <f>Base_Indem_Tri!U16</f>
        <v>61009.4632</v>
      </c>
      <c r="S16" s="51">
        <f>Base_Indem_Tri!U57</f>
        <v>1</v>
      </c>
      <c r="T16" s="52">
        <f t="shared" si="2"/>
        <v>61009.4632</v>
      </c>
      <c r="U16" s="11"/>
      <c r="V16" s="49">
        <f t="shared" si="3"/>
        <v>2011</v>
      </c>
      <c r="W16" s="50">
        <f>Base_Med_Tri!U16</f>
        <v>75968.39807</v>
      </c>
      <c r="X16" s="51">
        <f>Base_Med_Tri!U57</f>
        <v>1</v>
      </c>
      <c r="Y16" s="52">
        <f t="shared" si="4"/>
        <v>75968.39807</v>
      </c>
      <c r="Z16" s="11"/>
    </row>
    <row r="17" ht="12.75" customHeight="1">
      <c r="A17" s="11"/>
      <c r="B17" s="36">
        <f t="shared" si="6"/>
        <v>2009</v>
      </c>
      <c r="C17" s="54">
        <v>267200.0</v>
      </c>
      <c r="D17" s="54">
        <f t="shared" si="7"/>
        <v>143627.132</v>
      </c>
      <c r="E17" s="54">
        <f t="shared" si="8"/>
        <v>154924.6954</v>
      </c>
      <c r="F17" s="54">
        <f t="shared" si="9"/>
        <v>11297.56336</v>
      </c>
      <c r="G17" s="54">
        <f t="shared" si="10"/>
        <v>143627.132</v>
      </c>
      <c r="H17" s="54">
        <f t="shared" si="11"/>
        <v>154924.6954</v>
      </c>
      <c r="I17" s="55">
        <f t="shared" ref="I17:J17" si="21">G17/$C17</f>
        <v>0.5375266917</v>
      </c>
      <c r="J17" s="55">
        <f t="shared" si="21"/>
        <v>0.5798079918</v>
      </c>
      <c r="K17" s="54">
        <f t="shared" si="13"/>
        <v>-11297.56336</v>
      </c>
      <c r="L17" s="54">
        <f t="shared" si="14"/>
        <v>0</v>
      </c>
      <c r="M17" s="54">
        <f t="shared" si="15"/>
        <v>0</v>
      </c>
      <c r="N17" s="54">
        <f t="shared" si="16"/>
        <v>11297.56336</v>
      </c>
      <c r="O17" s="11"/>
      <c r="P17" s="11"/>
      <c r="Q17" s="49">
        <f>Base_Indem_Tri!P17</f>
        <v>2012</v>
      </c>
      <c r="R17" s="50">
        <f>Base_Indem_Tri!T17</f>
        <v>62041.37383</v>
      </c>
      <c r="S17" s="51">
        <f>Base_Indem_Tri!T57</f>
        <v>1</v>
      </c>
      <c r="T17" s="52">
        <f t="shared" si="2"/>
        <v>62041.37383</v>
      </c>
      <c r="U17" s="11"/>
      <c r="V17" s="49">
        <f t="shared" si="3"/>
        <v>2012</v>
      </c>
      <c r="W17" s="50">
        <f>Base_Med_Tri!T17</f>
        <v>88998.62686</v>
      </c>
      <c r="X17" s="51">
        <f>Base_Med_Tri!T57</f>
        <v>1</v>
      </c>
      <c r="Y17" s="52">
        <f t="shared" si="4"/>
        <v>88998.62686</v>
      </c>
      <c r="Z17" s="11"/>
    </row>
    <row r="18" ht="12.75" customHeight="1">
      <c r="A18" s="11"/>
      <c r="B18" s="36">
        <f t="shared" si="6"/>
        <v>2010</v>
      </c>
      <c r="C18" s="54">
        <v>227700.0</v>
      </c>
      <c r="D18" s="54">
        <f t="shared" si="7"/>
        <v>136469.2498</v>
      </c>
      <c r="E18" s="54">
        <f t="shared" si="8"/>
        <v>150887.7865</v>
      </c>
      <c r="F18" s="54">
        <f t="shared" si="9"/>
        <v>14418.53661</v>
      </c>
      <c r="G18" s="54">
        <f t="shared" si="10"/>
        <v>136469.2498</v>
      </c>
      <c r="H18" s="54">
        <f t="shared" si="11"/>
        <v>150887.7865</v>
      </c>
      <c r="I18" s="55">
        <f t="shared" ref="I18:J18" si="22">G18/$C18</f>
        <v>0.599337944</v>
      </c>
      <c r="J18" s="55">
        <f t="shared" si="22"/>
        <v>0.6626604587</v>
      </c>
      <c r="K18" s="54">
        <f t="shared" si="13"/>
        <v>-14418.53661</v>
      </c>
      <c r="L18" s="54">
        <f t="shared" si="14"/>
        <v>0</v>
      </c>
      <c r="M18" s="54">
        <f t="shared" si="15"/>
        <v>0</v>
      </c>
      <c r="N18" s="54">
        <f t="shared" si="16"/>
        <v>14418.53661</v>
      </c>
      <c r="O18" s="11"/>
      <c r="P18" s="11"/>
      <c r="Q18" s="49">
        <f>Base_Indem_Tri!P18</f>
        <v>2013</v>
      </c>
      <c r="R18" s="50">
        <f>Base_Indem_Tri!S18</f>
        <v>41159.99764</v>
      </c>
      <c r="S18" s="51">
        <f>Base_Indem_Tri!S57</f>
        <v>1</v>
      </c>
      <c r="T18" s="52">
        <f t="shared" si="2"/>
        <v>41159.99764</v>
      </c>
      <c r="U18" s="11"/>
      <c r="V18" s="49">
        <f t="shared" si="3"/>
        <v>2013</v>
      </c>
      <c r="W18" s="50">
        <f>Base_Med_Tri!S18</f>
        <v>69374.75326</v>
      </c>
      <c r="X18" s="51">
        <f>Base_Med_Tri!S57</f>
        <v>1</v>
      </c>
      <c r="Y18" s="52">
        <f t="shared" si="4"/>
        <v>69374.75326</v>
      </c>
      <c r="Z18" s="11"/>
    </row>
    <row r="19" ht="12.75" customHeight="1">
      <c r="A19" s="11"/>
      <c r="B19" s="36">
        <f t="shared" si="6"/>
        <v>2011</v>
      </c>
      <c r="C19" s="54">
        <v>225800.0</v>
      </c>
      <c r="D19" s="54">
        <f t="shared" si="7"/>
        <v>136977.8613</v>
      </c>
      <c r="E19" s="54">
        <f t="shared" si="8"/>
        <v>157390.3654</v>
      </c>
      <c r="F19" s="54">
        <f t="shared" si="9"/>
        <v>20412.50408</v>
      </c>
      <c r="G19" s="54">
        <f t="shared" si="10"/>
        <v>136977.8613</v>
      </c>
      <c r="H19" s="54">
        <f t="shared" si="11"/>
        <v>157390.3654</v>
      </c>
      <c r="I19" s="55">
        <f t="shared" ref="I19:J19" si="23">G19/$C19</f>
        <v>0.6066335752</v>
      </c>
      <c r="J19" s="55">
        <f t="shared" si="23"/>
        <v>0.6970343904</v>
      </c>
      <c r="K19" s="54">
        <f t="shared" si="13"/>
        <v>-20412.50408</v>
      </c>
      <c r="L19" s="54">
        <f t="shared" si="14"/>
        <v>0</v>
      </c>
      <c r="M19" s="54">
        <f t="shared" si="15"/>
        <v>0</v>
      </c>
      <c r="N19" s="54">
        <f t="shared" si="16"/>
        <v>20412.50408</v>
      </c>
      <c r="O19" s="11"/>
      <c r="P19" s="11"/>
      <c r="Q19" s="49">
        <f>Base_Indem_Tri!P19</f>
        <v>2014</v>
      </c>
      <c r="R19" s="50">
        <f>Base_Indem_Tri!R19</f>
        <v>26495.23809</v>
      </c>
      <c r="S19" s="51">
        <f>Base_Indem_Tri!R57</f>
        <v>1</v>
      </c>
      <c r="T19" s="52">
        <f t="shared" si="2"/>
        <v>26495.23809</v>
      </c>
      <c r="U19" s="11"/>
      <c r="V19" s="49">
        <f t="shared" si="3"/>
        <v>2014</v>
      </c>
      <c r="W19" s="50">
        <f>Base_Med_Tri!R19</f>
        <v>64406.00981</v>
      </c>
      <c r="X19" s="51">
        <f>Base_Med_Tri!R57</f>
        <v>1</v>
      </c>
      <c r="Y19" s="52">
        <f t="shared" si="4"/>
        <v>64406.00981</v>
      </c>
      <c r="Z19" s="11"/>
    </row>
    <row r="20" ht="12.75" customHeight="1">
      <c r="A20" s="11"/>
      <c r="B20" s="36">
        <f t="shared" si="6"/>
        <v>2012</v>
      </c>
      <c r="C20" s="54">
        <v>231900.0</v>
      </c>
      <c r="D20" s="54">
        <f t="shared" si="7"/>
        <v>151040.0007</v>
      </c>
      <c r="E20" s="54">
        <f t="shared" si="8"/>
        <v>180451.432</v>
      </c>
      <c r="F20" s="54">
        <f t="shared" si="9"/>
        <v>29411.43135</v>
      </c>
      <c r="G20" s="54">
        <f t="shared" si="10"/>
        <v>151040.0007</v>
      </c>
      <c r="H20" s="54">
        <f t="shared" si="11"/>
        <v>180451.432</v>
      </c>
      <c r="I20" s="55">
        <f t="shared" ref="I20:J20" si="24">G20/$C20</f>
        <v>0.6513152251</v>
      </c>
      <c r="J20" s="55">
        <f t="shared" si="24"/>
        <v>0.7781433033</v>
      </c>
      <c r="K20" s="54">
        <f t="shared" si="13"/>
        <v>-29411.43135</v>
      </c>
      <c r="L20" s="54">
        <f t="shared" si="14"/>
        <v>0</v>
      </c>
      <c r="M20" s="54">
        <f t="shared" si="15"/>
        <v>0</v>
      </c>
      <c r="N20" s="54">
        <f t="shared" si="16"/>
        <v>29411.43135</v>
      </c>
      <c r="O20" s="11"/>
      <c r="P20" s="11"/>
      <c r="Q20" s="56">
        <f>Base_Indem_Tri!P20</f>
        <v>2015</v>
      </c>
      <c r="R20" s="57">
        <f>Base_Indem_Tri!Q20</f>
        <v>9643.988459</v>
      </c>
      <c r="S20" s="58">
        <f>Base_Indem_Tri!Q57</f>
        <v>1</v>
      </c>
      <c r="T20" s="59">
        <f t="shared" si="2"/>
        <v>9643.988459</v>
      </c>
      <c r="U20" s="11"/>
      <c r="V20" s="56">
        <f t="shared" si="3"/>
        <v>2015</v>
      </c>
      <c r="W20" s="57">
        <f>Base_Med_Tri!Q20</f>
        <v>32876.61357</v>
      </c>
      <c r="X20" s="58">
        <f>Base_Med_Tri!Q57</f>
        <v>1</v>
      </c>
      <c r="Y20" s="59">
        <f t="shared" si="4"/>
        <v>32876.61357</v>
      </c>
      <c r="Z20" s="11"/>
    </row>
    <row r="21" ht="12.75" customHeight="1">
      <c r="A21" s="11"/>
      <c r="B21" s="36">
        <f t="shared" si="6"/>
        <v>2013</v>
      </c>
      <c r="C21" s="54">
        <v>230100.0</v>
      </c>
      <c r="D21" s="54">
        <f t="shared" si="7"/>
        <v>110534.7509</v>
      </c>
      <c r="E21" s="54">
        <f t="shared" si="8"/>
        <v>148527.8909</v>
      </c>
      <c r="F21" s="54">
        <f t="shared" si="9"/>
        <v>37993.14005</v>
      </c>
      <c r="G21" s="54">
        <f t="shared" si="10"/>
        <v>110534.7509</v>
      </c>
      <c r="H21" s="54">
        <f t="shared" si="11"/>
        <v>148527.8909</v>
      </c>
      <c r="I21" s="55">
        <f t="shared" ref="I21:J21" si="25">G21/$C21</f>
        <v>0.4803770139</v>
      </c>
      <c r="J21" s="55">
        <f t="shared" si="25"/>
        <v>0.6454927899</v>
      </c>
      <c r="K21" s="54">
        <f t="shared" si="13"/>
        <v>-37993.14005</v>
      </c>
      <c r="L21" s="54">
        <f t="shared" si="14"/>
        <v>0</v>
      </c>
      <c r="M21" s="54">
        <f t="shared" si="15"/>
        <v>0</v>
      </c>
      <c r="N21" s="54">
        <f t="shared" si="16"/>
        <v>37993.14005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36">
        <f t="shared" si="6"/>
        <v>2014</v>
      </c>
      <c r="C22" s="54">
        <v>253100.0</v>
      </c>
      <c r="D22" s="54">
        <f t="shared" si="7"/>
        <v>90901.24789</v>
      </c>
      <c r="E22" s="54">
        <f t="shared" si="8"/>
        <v>143202.8484</v>
      </c>
      <c r="F22" s="54">
        <f t="shared" si="9"/>
        <v>52301.60048</v>
      </c>
      <c r="G22" s="54">
        <f t="shared" si="10"/>
        <v>90901.24789</v>
      </c>
      <c r="H22" s="54">
        <f t="shared" si="11"/>
        <v>143202.8484</v>
      </c>
      <c r="I22" s="55">
        <f t="shared" ref="I22:J22" si="26">G22/$C22</f>
        <v>0.3591515128</v>
      </c>
      <c r="J22" s="55">
        <f t="shared" si="26"/>
        <v>0.5657955289</v>
      </c>
      <c r="K22" s="54">
        <f t="shared" si="13"/>
        <v>-52301.60048</v>
      </c>
      <c r="L22" s="54">
        <f t="shared" si="14"/>
        <v>0</v>
      </c>
      <c r="M22" s="54">
        <f t="shared" si="15"/>
        <v>0</v>
      </c>
      <c r="N22" s="54">
        <f t="shared" si="16"/>
        <v>52301.60048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36">
        <f t="shared" si="6"/>
        <v>2015</v>
      </c>
      <c r="C23" s="54">
        <v>269000.0</v>
      </c>
      <c r="D23" s="54">
        <f t="shared" si="7"/>
        <v>42520.60203</v>
      </c>
      <c r="E23" s="54">
        <f t="shared" si="8"/>
        <v>109127.5899</v>
      </c>
      <c r="F23" s="54">
        <f t="shared" si="9"/>
        <v>66606.9879</v>
      </c>
      <c r="G23" s="54">
        <f t="shared" si="10"/>
        <v>42520.60203</v>
      </c>
      <c r="H23" s="54">
        <f t="shared" si="11"/>
        <v>109127.5899</v>
      </c>
      <c r="I23" s="55">
        <f t="shared" ref="I23:J23" si="27">G23/$C23</f>
        <v>0.1580691525</v>
      </c>
      <c r="J23" s="55">
        <f t="shared" si="27"/>
        <v>0.405678773</v>
      </c>
      <c r="K23" s="54">
        <f t="shared" si="13"/>
        <v>-66606.9879</v>
      </c>
      <c r="L23" s="54">
        <f t="shared" si="14"/>
        <v>0</v>
      </c>
      <c r="M23" s="54">
        <f t="shared" si="15"/>
        <v>0</v>
      </c>
      <c r="N23" s="54">
        <f t="shared" si="16"/>
        <v>66606.9879</v>
      </c>
      <c r="O23" s="11"/>
      <c r="P23" s="11"/>
      <c r="Q23" s="33" t="s">
        <v>90</v>
      </c>
      <c r="R23" s="11"/>
      <c r="S23" s="11"/>
      <c r="T23" s="11"/>
      <c r="U23" s="11"/>
      <c r="V23" s="33" t="s">
        <v>90</v>
      </c>
      <c r="W23" s="11"/>
      <c r="X23" s="11"/>
      <c r="Y23" s="11"/>
      <c r="Z23" s="11"/>
    </row>
    <row r="24" ht="12.75" customHeight="1">
      <c r="A24" s="11"/>
      <c r="B24" s="3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33" t="s">
        <v>68</v>
      </c>
      <c r="R24" s="11"/>
      <c r="S24" s="11"/>
      <c r="T24" s="11"/>
      <c r="U24" s="11"/>
      <c r="V24" s="33" t="s">
        <v>69</v>
      </c>
      <c r="W24" s="11"/>
      <c r="X24" s="11"/>
      <c r="Y24" s="11"/>
      <c r="Z24" s="11"/>
    </row>
    <row r="25" ht="12.75" customHeight="1">
      <c r="A25" s="11"/>
      <c r="B25" s="36" t="s">
        <v>91</v>
      </c>
      <c r="C25" s="54">
        <f t="shared" ref="C25:H25" si="28">SUM(C11:C23)</f>
        <v>3069200</v>
      </c>
      <c r="D25" s="54">
        <f t="shared" si="28"/>
        <v>1662632.455</v>
      </c>
      <c r="E25" s="54">
        <f t="shared" si="28"/>
        <v>1930015.908</v>
      </c>
      <c r="F25" s="54">
        <f t="shared" si="28"/>
        <v>267383.4531</v>
      </c>
      <c r="G25" s="54">
        <f t="shared" si="28"/>
        <v>1662632.455</v>
      </c>
      <c r="H25" s="54">
        <f t="shared" si="28"/>
        <v>1930015.908</v>
      </c>
      <c r="I25" s="55">
        <f t="shared" ref="I25:J25" si="29">G25/$C25</f>
        <v>0.541715253</v>
      </c>
      <c r="J25" s="55">
        <f t="shared" si="29"/>
        <v>0.6288335422</v>
      </c>
      <c r="K25" s="54">
        <f t="shared" ref="K25:N25" si="30">SUM(K11:K23)</f>
        <v>-267383.4531</v>
      </c>
      <c r="L25" s="54">
        <f t="shared" si="30"/>
        <v>0</v>
      </c>
      <c r="M25" s="54">
        <f t="shared" si="30"/>
        <v>0</v>
      </c>
      <c r="N25" s="54">
        <f t="shared" si="30"/>
        <v>267383.4531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42" t="s">
        <v>74</v>
      </c>
      <c r="R26" s="43" t="s">
        <v>89</v>
      </c>
      <c r="S26" s="43" t="s">
        <v>76</v>
      </c>
      <c r="T26" s="44" t="s">
        <v>77</v>
      </c>
      <c r="U26" s="11"/>
      <c r="V26" s="42" t="s">
        <v>74</v>
      </c>
      <c r="W26" s="43" t="s">
        <v>89</v>
      </c>
      <c r="X26" s="43" t="s">
        <v>76</v>
      </c>
      <c r="Y26" s="44" t="s">
        <v>77</v>
      </c>
      <c r="Z26" s="11"/>
    </row>
    <row r="27" ht="12.75" customHeight="1">
      <c r="A27" s="11"/>
      <c r="B27" s="53">
        <v>-1.0</v>
      </c>
      <c r="C27" s="11" t="s">
        <v>92</v>
      </c>
      <c r="D27" s="11"/>
      <c r="E27" s="11"/>
      <c r="F27" s="53">
        <f>B33-1</f>
        <v>-8</v>
      </c>
      <c r="G27" s="60" t="s">
        <v>93</v>
      </c>
      <c r="H27" s="11"/>
      <c r="I27" s="11"/>
      <c r="J27" s="11"/>
      <c r="K27" s="11"/>
      <c r="L27" s="11"/>
      <c r="M27" s="11"/>
      <c r="N27" s="11"/>
      <c r="O27" s="11"/>
      <c r="P27" s="11"/>
      <c r="Q27" s="45" t="s">
        <v>84</v>
      </c>
      <c r="R27" s="46" t="s">
        <v>85</v>
      </c>
      <c r="S27" s="46" t="s">
        <v>86</v>
      </c>
      <c r="T27" s="47" t="s">
        <v>87</v>
      </c>
      <c r="U27" s="11"/>
      <c r="V27" s="45" t="s">
        <v>84</v>
      </c>
      <c r="W27" s="46" t="s">
        <v>85</v>
      </c>
      <c r="X27" s="46" t="s">
        <v>86</v>
      </c>
      <c r="Y27" s="47" t="s">
        <v>87</v>
      </c>
      <c r="Z27" s="11"/>
    </row>
    <row r="28" ht="12.75" customHeight="1">
      <c r="A28" s="11"/>
      <c r="B28" s="53">
        <f t="shared" ref="B28:B33" si="31">B27-1</f>
        <v>-2</v>
      </c>
      <c r="C28" s="11" t="s">
        <v>92</v>
      </c>
      <c r="D28" s="11"/>
      <c r="E28" s="11"/>
      <c r="F28" s="53">
        <f t="shared" ref="F28:F32" si="32">F27-1</f>
        <v>-9</v>
      </c>
      <c r="G28" s="60" t="s">
        <v>94</v>
      </c>
      <c r="H28" s="11"/>
      <c r="I28" s="11"/>
      <c r="J28" s="11"/>
      <c r="K28" s="11"/>
      <c r="L28" s="11"/>
      <c r="M28" s="11"/>
      <c r="N28" s="11"/>
      <c r="O28" s="11"/>
      <c r="P28" s="11"/>
      <c r="Q28" s="49">
        <f>Base_Indem_Tri!A8</f>
        <v>2003</v>
      </c>
      <c r="R28" s="50">
        <f>Base_Indem_Tri!N8</f>
        <v>71881.089</v>
      </c>
      <c r="S28" s="51">
        <f>Base_Indem_Tri!$N$57</f>
        <v>1</v>
      </c>
      <c r="T28" s="52">
        <f t="shared" ref="T28:T40" si="33">R28*S28</f>
        <v>71881.089</v>
      </c>
      <c r="U28" s="11"/>
      <c r="V28" s="49">
        <f t="shared" ref="V28:V40" si="34">Q28</f>
        <v>2003</v>
      </c>
      <c r="W28" s="50">
        <f>Base_Med_Tri!N8</f>
        <v>74815.011</v>
      </c>
      <c r="X28" s="51">
        <f>Base_Med_Tri!$N$57</f>
        <v>1</v>
      </c>
      <c r="Y28" s="52">
        <f t="shared" ref="Y28:Y40" si="35">W28*X28</f>
        <v>74815.011</v>
      </c>
      <c r="Z28" s="11"/>
    </row>
    <row r="29" ht="12.75" customHeight="1">
      <c r="A29" s="11"/>
      <c r="B29" s="53">
        <f t="shared" si="31"/>
        <v>-3</v>
      </c>
      <c r="C29" s="11" t="s">
        <v>92</v>
      </c>
      <c r="D29" s="11"/>
      <c r="E29" s="11"/>
      <c r="F29" s="53">
        <f t="shared" si="32"/>
        <v>-10</v>
      </c>
      <c r="G29" s="60" t="s">
        <v>95</v>
      </c>
      <c r="H29" s="11"/>
      <c r="I29" s="11"/>
      <c r="J29" s="11"/>
      <c r="K29" s="11"/>
      <c r="L29" s="11"/>
      <c r="M29" s="11"/>
      <c r="N29" s="11"/>
      <c r="O29" s="11"/>
      <c r="P29" s="11"/>
      <c r="Q29" s="49">
        <f>Base_Indem_Tri!A9</f>
        <v>2004</v>
      </c>
      <c r="R29" s="50">
        <f>Base_Indem_Tri!M9</f>
        <v>73970.2285</v>
      </c>
      <c r="S29" s="51">
        <f>Base_Indem_Tri!M57</f>
        <v>1</v>
      </c>
      <c r="T29" s="52">
        <f t="shared" si="33"/>
        <v>73970.2285</v>
      </c>
      <c r="U29" s="11"/>
      <c r="V29" s="49">
        <f t="shared" si="34"/>
        <v>2004</v>
      </c>
      <c r="W29" s="50">
        <f>Base_Med_Tri!M9</f>
        <v>76989.4215</v>
      </c>
      <c r="X29" s="51">
        <f>Base_Med_Tri!M57</f>
        <v>1</v>
      </c>
      <c r="Y29" s="52">
        <f t="shared" si="35"/>
        <v>76989.4215</v>
      </c>
      <c r="Z29" s="11"/>
    </row>
    <row r="30" ht="12.75" customHeight="1">
      <c r="A30" s="11"/>
      <c r="B30" s="53">
        <f t="shared" si="31"/>
        <v>-4</v>
      </c>
      <c r="C30" s="11" t="s">
        <v>92</v>
      </c>
      <c r="D30" s="11"/>
      <c r="E30" s="11"/>
      <c r="F30" s="53">
        <f t="shared" si="32"/>
        <v>-11</v>
      </c>
      <c r="G30" s="60" t="s">
        <v>96</v>
      </c>
      <c r="H30" s="11"/>
      <c r="I30" s="11"/>
      <c r="J30" s="11"/>
      <c r="K30" s="11"/>
      <c r="L30" s="11"/>
      <c r="M30" s="11"/>
      <c r="N30" s="11"/>
      <c r="O30" s="11"/>
      <c r="P30" s="11"/>
      <c r="Q30" s="49">
        <f>Base_Indem_Tri!A10</f>
        <v>2005</v>
      </c>
      <c r="R30" s="50">
        <f>Base_Indem_Tri!L10</f>
        <v>70033.73912</v>
      </c>
      <c r="S30" s="51">
        <f>Base_Indem_Tri!L57</f>
        <v>1</v>
      </c>
      <c r="T30" s="52">
        <f t="shared" si="33"/>
        <v>70033.73912</v>
      </c>
      <c r="U30" s="11"/>
      <c r="V30" s="49">
        <f t="shared" si="34"/>
        <v>2005</v>
      </c>
      <c r="W30" s="50">
        <f>Base_Med_Tri!L10</f>
        <v>78953.40307</v>
      </c>
      <c r="X30" s="51">
        <f>Base_Med_Tri!L57</f>
        <v>1</v>
      </c>
      <c r="Y30" s="52">
        <f t="shared" si="35"/>
        <v>78953.40307</v>
      </c>
      <c r="Z30" s="11"/>
    </row>
    <row r="31" ht="12.75" customHeight="1">
      <c r="A31" s="11"/>
      <c r="B31" s="53">
        <f t="shared" si="31"/>
        <v>-5</v>
      </c>
      <c r="C31" s="60" t="s">
        <v>97</v>
      </c>
      <c r="D31" s="11"/>
      <c r="E31" s="11"/>
      <c r="F31" s="53">
        <f t="shared" si="32"/>
        <v>-12</v>
      </c>
      <c r="G31" s="60" t="s">
        <v>98</v>
      </c>
      <c r="H31" s="11"/>
      <c r="I31" s="11"/>
      <c r="J31" s="11"/>
      <c r="K31" s="11"/>
      <c r="L31" s="11"/>
      <c r="M31" s="11"/>
      <c r="N31" s="11"/>
      <c r="O31" s="11"/>
      <c r="P31" s="11"/>
      <c r="Q31" s="49">
        <f>Base_Indem_Tri!A11</f>
        <v>2006</v>
      </c>
      <c r="R31" s="50">
        <f>Base_Indem_Tri!K11</f>
        <v>67339.6724</v>
      </c>
      <c r="S31" s="51">
        <f>Base_Indem_Tri!K57</f>
        <v>1</v>
      </c>
      <c r="T31" s="52">
        <f t="shared" si="33"/>
        <v>67339.6724</v>
      </c>
      <c r="U31" s="11"/>
      <c r="V31" s="49">
        <f t="shared" si="34"/>
        <v>2006</v>
      </c>
      <c r="W31" s="50">
        <f>Base_Med_Tri!K11</f>
        <v>78698.08844</v>
      </c>
      <c r="X31" s="51">
        <f>Base_Med_Tri!K57</f>
        <v>1</v>
      </c>
      <c r="Y31" s="52">
        <f t="shared" si="35"/>
        <v>78698.08844</v>
      </c>
      <c r="Z31" s="11"/>
    </row>
    <row r="32" ht="12.75" customHeight="1">
      <c r="A32" s="11"/>
      <c r="B32" s="53">
        <f t="shared" si="31"/>
        <v>-6</v>
      </c>
      <c r="C32" s="11" t="s">
        <v>99</v>
      </c>
      <c r="D32" s="11"/>
      <c r="E32" s="11"/>
      <c r="F32" s="53">
        <f t="shared" si="32"/>
        <v>-13</v>
      </c>
      <c r="G32" s="60" t="s">
        <v>100</v>
      </c>
      <c r="H32" s="11"/>
      <c r="I32" s="11"/>
      <c r="J32" s="11"/>
      <c r="K32" s="11"/>
      <c r="L32" s="11"/>
      <c r="M32" s="11"/>
      <c r="N32" s="11"/>
      <c r="O32" s="11"/>
      <c r="P32" s="11"/>
      <c r="Q32" s="49">
        <f>Base_Indem_Tri!A12</f>
        <v>2007</v>
      </c>
      <c r="R32" s="50">
        <f>Base_Indem_Tri!J12</f>
        <v>68355.43133</v>
      </c>
      <c r="S32" s="51">
        <f>Base_Indem_Tri!J57</f>
        <v>1</v>
      </c>
      <c r="T32" s="52">
        <f t="shared" si="33"/>
        <v>68355.43133</v>
      </c>
      <c r="U32" s="11"/>
      <c r="V32" s="49">
        <f t="shared" si="34"/>
        <v>2007</v>
      </c>
      <c r="W32" s="50">
        <f>Base_Med_Tri!J12</f>
        <v>78151.25382</v>
      </c>
      <c r="X32" s="51">
        <f>Base_Med_Tri!J57</f>
        <v>1</v>
      </c>
      <c r="Y32" s="52">
        <f t="shared" si="35"/>
        <v>78151.25382</v>
      </c>
      <c r="Z32" s="11"/>
    </row>
    <row r="33" ht="12.75" customHeight="1">
      <c r="A33" s="11"/>
      <c r="B33" s="53">
        <f t="shared" si="31"/>
        <v>-7</v>
      </c>
      <c r="C33" s="11" t="s">
        <v>99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49">
        <f>Base_Indem_Tri!A13</f>
        <v>2008</v>
      </c>
      <c r="R33" s="50">
        <f>Base_Indem_Tri!I13</f>
        <v>70556.41343</v>
      </c>
      <c r="S33" s="51">
        <f>Base_Indem_Tri!I57</f>
        <v>1</v>
      </c>
      <c r="T33" s="52">
        <f t="shared" si="33"/>
        <v>70556.41343</v>
      </c>
      <c r="U33" s="11"/>
      <c r="V33" s="49">
        <f t="shared" si="34"/>
        <v>2008</v>
      </c>
      <c r="W33" s="50">
        <f>Base_Med_Tri!I13</f>
        <v>75759.5476</v>
      </c>
      <c r="X33" s="51">
        <f>Base_Med_Tri!I57</f>
        <v>1</v>
      </c>
      <c r="Y33" s="52">
        <f t="shared" si="35"/>
        <v>75759.5476</v>
      </c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49">
        <f>Base_Indem_Tri!A14</f>
        <v>2009</v>
      </c>
      <c r="R34" s="50">
        <f>Base_Indem_Tri!H14</f>
        <v>74956.07061</v>
      </c>
      <c r="S34" s="51">
        <f>Base_Indem_Tri!H57</f>
        <v>1</v>
      </c>
      <c r="T34" s="52">
        <f t="shared" si="33"/>
        <v>74956.07061</v>
      </c>
      <c r="U34" s="11"/>
      <c r="V34" s="49">
        <f t="shared" si="34"/>
        <v>2009</v>
      </c>
      <c r="W34" s="50">
        <f>Base_Med_Tri!H14</f>
        <v>79968.62478</v>
      </c>
      <c r="X34" s="51">
        <f>Base_Med_Tri!H57</f>
        <v>1</v>
      </c>
      <c r="Y34" s="52">
        <f t="shared" si="35"/>
        <v>79968.62478</v>
      </c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49">
        <f>Base_Indem_Tri!A15</f>
        <v>2010</v>
      </c>
      <c r="R35" s="50">
        <f>Base_Indem_Tri!G15</f>
        <v>71115.75375</v>
      </c>
      <c r="S35" s="51">
        <f>Base_Indem_Tri!G57</f>
        <v>1</v>
      </c>
      <c r="T35" s="52">
        <f t="shared" si="33"/>
        <v>71115.75375</v>
      </c>
      <c r="U35" s="11"/>
      <c r="V35" s="49">
        <f t="shared" si="34"/>
        <v>2010</v>
      </c>
      <c r="W35" s="50">
        <f>Base_Med_Tri!G15</f>
        <v>79772.0327</v>
      </c>
      <c r="X35" s="51">
        <f>Base_Med_Tri!G57</f>
        <v>1</v>
      </c>
      <c r="Y35" s="52">
        <f t="shared" si="35"/>
        <v>79772.0327</v>
      </c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49">
        <f>Base_Indem_Tri!A16</f>
        <v>2011</v>
      </c>
      <c r="R36" s="50">
        <f>Base_Indem_Tri!F16</f>
        <v>73880.67747</v>
      </c>
      <c r="S36" s="51">
        <f>Base_Indem_Tri!F57</f>
        <v>1</v>
      </c>
      <c r="T36" s="52">
        <f t="shared" si="33"/>
        <v>73880.67747</v>
      </c>
      <c r="U36" s="11"/>
      <c r="V36" s="49">
        <f t="shared" si="34"/>
        <v>2011</v>
      </c>
      <c r="W36" s="50">
        <f>Base_Med_Tri!F16</f>
        <v>83509.68789</v>
      </c>
      <c r="X36" s="51">
        <f>Base_Med_Tri!F57</f>
        <v>1</v>
      </c>
      <c r="Y36" s="52">
        <f t="shared" si="35"/>
        <v>83509.68789</v>
      </c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49">
        <f>Base_Indem_Tri!A17</f>
        <v>2012</v>
      </c>
      <c r="R37" s="50">
        <f>Base_Indem_Tri!E17</f>
        <v>81042.88601</v>
      </c>
      <c r="S37" s="51">
        <f>Base_Indem_Tri!E57</f>
        <v>1</v>
      </c>
      <c r="T37" s="52">
        <f t="shared" si="33"/>
        <v>81042.88601</v>
      </c>
      <c r="U37" s="11"/>
      <c r="V37" s="49">
        <f t="shared" si="34"/>
        <v>2012</v>
      </c>
      <c r="W37" s="50">
        <f>Base_Med_Tri!E17</f>
        <v>99408.54604</v>
      </c>
      <c r="X37" s="51">
        <f>Base_Med_Tri!E57</f>
        <v>1</v>
      </c>
      <c r="Y37" s="52">
        <f t="shared" si="35"/>
        <v>99408.54604</v>
      </c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49">
        <f>Base_Indem_Tri!A18</f>
        <v>2013</v>
      </c>
      <c r="R38" s="50">
        <f>Base_Indem_Tri!D18</f>
        <v>65798.39411</v>
      </c>
      <c r="S38" s="51">
        <f>Base_Indem_Tri!D57</f>
        <v>1</v>
      </c>
      <c r="T38" s="52">
        <f t="shared" si="33"/>
        <v>65798.39411</v>
      </c>
      <c r="U38" s="11"/>
      <c r="V38" s="49">
        <f t="shared" si="34"/>
        <v>2013</v>
      </c>
      <c r="W38" s="50">
        <f>Base_Med_Tri!D18</f>
        <v>82729.49684</v>
      </c>
      <c r="X38" s="51">
        <f>Base_Med_Tri!D57</f>
        <v>1</v>
      </c>
      <c r="Y38" s="52">
        <f t="shared" si="35"/>
        <v>82729.49684</v>
      </c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49">
        <f>Base_Indem_Tri!A19</f>
        <v>2014</v>
      </c>
      <c r="R39" s="50">
        <f>Base_Indem_Tri!C19</f>
        <v>58386.84251</v>
      </c>
      <c r="S39" s="51">
        <f>Base_Indem_Tri!C57</f>
        <v>1</v>
      </c>
      <c r="T39" s="52">
        <f t="shared" si="33"/>
        <v>58386.84251</v>
      </c>
      <c r="U39" s="11"/>
      <c r="V39" s="49">
        <f t="shared" si="34"/>
        <v>2014</v>
      </c>
      <c r="W39" s="50">
        <f>Base_Med_Tri!C19</f>
        <v>84816.00586</v>
      </c>
      <c r="X39" s="51">
        <f>Base_Med_Tri!C57</f>
        <v>1</v>
      </c>
      <c r="Y39" s="52">
        <f t="shared" si="35"/>
        <v>84816.00586</v>
      </c>
      <c r="Z39" s="11"/>
    </row>
    <row r="40" ht="12.75" customHeight="1">
      <c r="A40" s="11"/>
      <c r="B40" s="53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56">
        <f>Base_Indem_Tri!A20</f>
        <v>2015</v>
      </c>
      <c r="R40" s="57">
        <f>Base_Indem_Tri!B20</f>
        <v>43013.27052</v>
      </c>
      <c r="S40" s="58">
        <f>Base_Indem_Tri!B57</f>
        <v>1</v>
      </c>
      <c r="T40" s="59">
        <f t="shared" si="33"/>
        <v>43013.27052</v>
      </c>
      <c r="U40" s="11"/>
      <c r="V40" s="56">
        <f t="shared" si="34"/>
        <v>2015</v>
      </c>
      <c r="W40" s="57">
        <f>Base_Med_Tri!B20</f>
        <v>66114.31941</v>
      </c>
      <c r="X40" s="58">
        <f>Base_Med_Tri!B57</f>
        <v>1</v>
      </c>
      <c r="Y40" s="59">
        <f t="shared" si="35"/>
        <v>66114.31941</v>
      </c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54"/>
      <c r="J42" s="54"/>
      <c r="K42" s="54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54"/>
      <c r="J43" s="54"/>
      <c r="K43" s="54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54"/>
      <c r="J44" s="54"/>
      <c r="K44" s="54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54"/>
      <c r="J45" s="54"/>
      <c r="K45" s="54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54"/>
      <c r="J46" s="54"/>
      <c r="K46" s="54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54"/>
      <c r="J47" s="54"/>
      <c r="K47" s="54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">
    <mergeCell ref="G6:H6"/>
    <mergeCell ref="I6:J6"/>
    <mergeCell ref="K6:N6"/>
    <mergeCell ref="D7:E7"/>
    <mergeCell ref="G7:H7"/>
    <mergeCell ref="I7:J7"/>
    <mergeCell ref="K7:L7"/>
    <mergeCell ref="M7:N7"/>
  </mergeCells>
  <printOptions/>
  <pageMargins bottom="0.75" footer="0.0" header="0.0" left="0.7" right="0.7" top="0.7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14" width="10.13"/>
    <col customWidth="1" min="15" max="15" width="9.5"/>
    <col customWidth="1" min="16" max="16" width="12.38"/>
    <col customWidth="1" min="17" max="29" width="10.13"/>
  </cols>
  <sheetData>
    <row r="1" ht="12.75" customHeight="1"/>
    <row r="2" ht="12.75" customHeight="1">
      <c r="A2" s="61" t="s">
        <v>101</v>
      </c>
      <c r="B2" s="62" t="s">
        <v>102</v>
      </c>
      <c r="O2" s="62"/>
      <c r="P2" s="61" t="s">
        <v>101</v>
      </c>
      <c r="Q2" s="62" t="s">
        <v>103</v>
      </c>
    </row>
    <row r="3" ht="12.75" customHeight="1">
      <c r="A3" s="30" t="s">
        <v>101</v>
      </c>
      <c r="B3" s="62" t="s">
        <v>104</v>
      </c>
      <c r="O3" s="62"/>
      <c r="P3" s="30" t="s">
        <v>101</v>
      </c>
      <c r="Q3" s="62" t="s">
        <v>104</v>
      </c>
    </row>
    <row r="4" ht="12.75" customHeight="1">
      <c r="A4" s="30"/>
      <c r="P4" s="30"/>
    </row>
    <row r="5" ht="12.75" customHeight="1">
      <c r="A5" s="30" t="s">
        <v>74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 t="s">
        <v>74</v>
      </c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ht="12.75" customHeight="1">
      <c r="A6" s="63" t="s">
        <v>84</v>
      </c>
      <c r="B6" s="30">
        <v>12.0</v>
      </c>
      <c r="C6" s="30">
        <v>24.0</v>
      </c>
      <c r="D6" s="30">
        <v>36.0</v>
      </c>
      <c r="E6" s="30">
        <v>48.0</v>
      </c>
      <c r="F6" s="30">
        <v>60.0</v>
      </c>
      <c r="G6" s="30">
        <v>72.0</v>
      </c>
      <c r="H6" s="30">
        <v>84.0</v>
      </c>
      <c r="I6" s="30">
        <v>96.0</v>
      </c>
      <c r="J6" s="30">
        <v>108.0</v>
      </c>
      <c r="K6" s="30">
        <v>120.0</v>
      </c>
      <c r="L6" s="30">
        <v>132.0</v>
      </c>
      <c r="M6" s="30">
        <v>144.0</v>
      </c>
      <c r="N6" s="30">
        <v>156.0</v>
      </c>
      <c r="O6" s="30"/>
      <c r="P6" s="63" t="s">
        <v>84</v>
      </c>
      <c r="Q6" s="30">
        <v>12.0</v>
      </c>
      <c r="R6" s="30">
        <v>24.0</v>
      </c>
      <c r="S6" s="30">
        <v>36.0</v>
      </c>
      <c r="T6" s="30">
        <v>48.0</v>
      </c>
      <c r="U6" s="30">
        <v>60.0</v>
      </c>
      <c r="V6" s="30">
        <v>72.0</v>
      </c>
      <c r="W6" s="30">
        <v>84.0</v>
      </c>
      <c r="X6" s="30">
        <v>96.0</v>
      </c>
      <c r="Y6" s="30">
        <v>108.0</v>
      </c>
      <c r="Z6" s="30">
        <v>120.0</v>
      </c>
      <c r="AA6" s="30">
        <v>132.0</v>
      </c>
      <c r="AB6" s="30">
        <v>144.0</v>
      </c>
      <c r="AC6" s="30">
        <v>156.0</v>
      </c>
    </row>
    <row r="7" ht="12.75" customHeight="1">
      <c r="A7" s="63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3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</row>
    <row r="8" ht="12.75" customHeight="1">
      <c r="A8" s="30">
        <v>2003.0</v>
      </c>
      <c r="B8" s="65"/>
      <c r="C8" s="66"/>
      <c r="D8" s="66"/>
      <c r="E8" s="66"/>
      <c r="F8" s="66"/>
      <c r="G8" s="66"/>
      <c r="H8" s="66"/>
      <c r="I8" s="66">
        <v>70540.81354268893</v>
      </c>
      <c r="J8" s="66">
        <v>71919.87598273483</v>
      </c>
      <c r="K8" s="66">
        <v>72609.69162200895</v>
      </c>
      <c r="L8" s="66">
        <v>71234.08285221281</v>
      </c>
      <c r="M8" s="66">
        <v>72599.89989000003</v>
      </c>
      <c r="N8" s="66">
        <v>71881.089</v>
      </c>
      <c r="O8" s="66"/>
      <c r="P8" s="30">
        <v>2003.0</v>
      </c>
      <c r="Q8" s="65"/>
      <c r="R8" s="66"/>
      <c r="S8" s="66"/>
      <c r="T8" s="66"/>
      <c r="U8" s="66"/>
      <c r="V8" s="66"/>
      <c r="W8" s="66"/>
      <c r="X8" s="66">
        <v>66618.24745134384</v>
      </c>
      <c r="Y8" s="66">
        <v>68315.43940984171</v>
      </c>
      <c r="Z8" s="66">
        <v>69881.81648520936</v>
      </c>
      <c r="AA8" s="66">
        <v>69881.81648520936</v>
      </c>
      <c r="AB8" s="66">
        <v>71381.51221406902</v>
      </c>
      <c r="AC8" s="66">
        <v>71881.089</v>
      </c>
    </row>
    <row r="9" ht="12.75" customHeight="1">
      <c r="A9" s="30">
        <v>2004.0</v>
      </c>
      <c r="B9" s="66"/>
      <c r="C9" s="66"/>
      <c r="D9" s="66"/>
      <c r="E9" s="66"/>
      <c r="F9" s="66"/>
      <c r="G9" s="66"/>
      <c r="H9" s="66">
        <v>69294.57692217619</v>
      </c>
      <c r="I9" s="66">
        <v>68809.51488372096</v>
      </c>
      <c r="J9" s="66">
        <v>72056.65573182912</v>
      </c>
      <c r="K9" s="66">
        <v>72752.25185075299</v>
      </c>
      <c r="L9" s="66">
        <v>74585.99402692552</v>
      </c>
      <c r="M9" s="66">
        <v>73970.22850000003</v>
      </c>
      <c r="N9" s="66"/>
      <c r="O9" s="66"/>
      <c r="P9" s="30">
        <v>2004.0</v>
      </c>
      <c r="Q9" s="66"/>
      <c r="R9" s="66"/>
      <c r="S9" s="66"/>
      <c r="T9" s="66"/>
      <c r="U9" s="66"/>
      <c r="V9" s="66"/>
      <c r="W9" s="66">
        <v>64521.01953753476</v>
      </c>
      <c r="X9" s="66">
        <v>65488.83483059778</v>
      </c>
      <c r="Y9" s="66">
        <v>67935.6732153406</v>
      </c>
      <c r="Z9" s="66">
        <v>68906.78393178053</v>
      </c>
      <c r="AA9" s="66">
        <v>71345.86511845046</v>
      </c>
      <c r="AB9" s="66">
        <v>72728.8436643907</v>
      </c>
      <c r="AC9" s="66"/>
    </row>
    <row r="10" ht="12.75" customHeight="1">
      <c r="A10" s="30">
        <v>2005.0</v>
      </c>
      <c r="B10" s="66"/>
      <c r="C10" s="66"/>
      <c r="D10" s="66"/>
      <c r="E10" s="66"/>
      <c r="F10" s="66"/>
      <c r="G10" s="66">
        <v>70202.16103135442</v>
      </c>
      <c r="H10" s="66">
        <v>69640.54374310358</v>
      </c>
      <c r="I10" s="66">
        <v>69501.26265561738</v>
      </c>
      <c r="J10" s="66">
        <v>69046.65193449365</v>
      </c>
      <c r="K10" s="66">
        <v>70448.80874826039</v>
      </c>
      <c r="L10" s="66">
        <v>70033.73912047899</v>
      </c>
      <c r="M10" s="66"/>
      <c r="N10" s="66"/>
      <c r="O10" s="66"/>
      <c r="P10" s="30">
        <v>2005.0</v>
      </c>
      <c r="Q10" s="66"/>
      <c r="R10" s="66"/>
      <c r="S10" s="66"/>
      <c r="T10" s="66"/>
      <c r="U10" s="66"/>
      <c r="V10" s="66">
        <v>61869.5962184561</v>
      </c>
      <c r="W10" s="66">
        <v>63725.68410500979</v>
      </c>
      <c r="X10" s="66">
        <v>65127.64915532</v>
      </c>
      <c r="Y10" s="66">
        <v>65354.779287303165</v>
      </c>
      <c r="Z10" s="66">
        <v>67075.92693567296</v>
      </c>
      <c r="AA10" s="66">
        <v>67848.68456158253</v>
      </c>
      <c r="AB10" s="66"/>
      <c r="AC10" s="66"/>
    </row>
    <row r="11" ht="12.75" customHeight="1">
      <c r="A11" s="30">
        <v>2006.0</v>
      </c>
      <c r="B11" s="66"/>
      <c r="C11" s="66"/>
      <c r="D11" s="66"/>
      <c r="E11" s="66"/>
      <c r="F11" s="66">
        <v>68891.9254885174</v>
      </c>
      <c r="G11" s="66">
        <v>68271.89815912074</v>
      </c>
      <c r="H11" s="66">
        <v>67384.36348305218</v>
      </c>
      <c r="I11" s="66">
        <v>67586.51657350133</v>
      </c>
      <c r="J11" s="66">
        <v>68023.04382625224</v>
      </c>
      <c r="K11" s="66">
        <v>67339.67239795801</v>
      </c>
      <c r="L11" s="66"/>
      <c r="M11" s="66"/>
      <c r="N11" s="66"/>
      <c r="O11" s="66"/>
      <c r="P11" s="30">
        <v>2006.0</v>
      </c>
      <c r="Q11" s="66"/>
      <c r="R11" s="66"/>
      <c r="S11" s="66"/>
      <c r="T11" s="66"/>
      <c r="U11" s="66">
        <v>55420.94361267481</v>
      </c>
      <c r="V11" s="66">
        <v>58746.2002294353</v>
      </c>
      <c r="W11" s="66">
        <v>60626.07863677723</v>
      </c>
      <c r="X11" s="66">
        <v>62141.730602696654</v>
      </c>
      <c r="Y11" s="66">
        <v>63606.31837295374</v>
      </c>
      <c r="Z11" s="66">
        <v>64300.66379483453</v>
      </c>
      <c r="AA11" s="66"/>
      <c r="AB11" s="66"/>
      <c r="AC11" s="66"/>
    </row>
    <row r="12" ht="12.75" customHeight="1">
      <c r="A12" s="30">
        <v>2007.0</v>
      </c>
      <c r="B12" s="66"/>
      <c r="C12" s="66"/>
      <c r="D12" s="66"/>
      <c r="E12" s="66">
        <v>69499.48660873728</v>
      </c>
      <c r="F12" s="66">
        <v>69568.98609534602</v>
      </c>
      <c r="G12" s="66">
        <v>69221.14116486929</v>
      </c>
      <c r="H12" s="66">
        <v>69428.80458836388</v>
      </c>
      <c r="I12" s="66">
        <v>68734.51654248024</v>
      </c>
      <c r="J12" s="66">
        <v>68355.43133446586</v>
      </c>
      <c r="K12" s="66"/>
      <c r="L12" s="66"/>
      <c r="M12" s="66"/>
      <c r="N12" s="66"/>
      <c r="O12" s="66"/>
      <c r="P12" s="30">
        <v>2007.0</v>
      </c>
      <c r="Q12" s="66"/>
      <c r="R12" s="66"/>
      <c r="S12" s="66"/>
      <c r="T12" s="66">
        <v>50694.62275641701</v>
      </c>
      <c r="U12" s="66">
        <v>56524.50437340497</v>
      </c>
      <c r="V12" s="66">
        <v>60255.1216620497</v>
      </c>
      <c r="W12" s="66">
        <v>62665.32652853169</v>
      </c>
      <c r="X12" s="66">
        <v>63730.637079516724</v>
      </c>
      <c r="Y12" s="66">
        <v>64477.68451596514</v>
      </c>
      <c r="Z12" s="66"/>
      <c r="AA12" s="66"/>
      <c r="AB12" s="66"/>
      <c r="AC12" s="66"/>
    </row>
    <row r="13" ht="12.75" customHeight="1">
      <c r="A13" s="30">
        <v>2008.0</v>
      </c>
      <c r="B13" s="66"/>
      <c r="C13" s="66"/>
      <c r="D13" s="66">
        <v>69206.58976267588</v>
      </c>
      <c r="E13" s="66">
        <v>71628.82040436953</v>
      </c>
      <c r="F13" s="66">
        <v>71915.33568598701</v>
      </c>
      <c r="G13" s="66">
        <v>71411.9283361851</v>
      </c>
      <c r="H13" s="66">
        <v>71269.10447951272</v>
      </c>
      <c r="I13" s="66">
        <v>70556.4134347176</v>
      </c>
      <c r="J13" s="66"/>
      <c r="K13" s="66"/>
      <c r="L13" s="66"/>
      <c r="M13" s="66"/>
      <c r="N13" s="66"/>
      <c r="P13" s="30">
        <v>2008.0</v>
      </c>
      <c r="Q13" s="66"/>
      <c r="R13" s="66"/>
      <c r="S13" s="66">
        <v>43162.45845496209</v>
      </c>
      <c r="T13" s="66">
        <v>52312.89964741406</v>
      </c>
      <c r="U13" s="66">
        <v>59479.76689910979</v>
      </c>
      <c r="V13" s="66">
        <v>62870.11361235904</v>
      </c>
      <c r="W13" s="66">
        <v>64756.21702072981</v>
      </c>
      <c r="X13" s="66">
        <v>65727.56027604075</v>
      </c>
      <c r="Y13" s="66"/>
      <c r="Z13" s="66"/>
      <c r="AA13" s="66"/>
      <c r="AB13" s="66"/>
      <c r="AC13" s="66"/>
    </row>
    <row r="14" ht="12.75" customHeight="1">
      <c r="A14" s="30">
        <v>2009.0</v>
      </c>
      <c r="B14" s="66"/>
      <c r="C14" s="66">
        <v>66890.90012657622</v>
      </c>
      <c r="D14" s="66">
        <v>73513.09923910727</v>
      </c>
      <c r="E14" s="66">
        <v>75939.0315139978</v>
      </c>
      <c r="F14" s="66">
        <v>75635.27538794182</v>
      </c>
      <c r="G14" s="66">
        <v>75257.09901100211</v>
      </c>
      <c r="H14" s="66">
        <v>74956.0706149581</v>
      </c>
      <c r="I14" s="66"/>
      <c r="J14" s="66"/>
      <c r="K14" s="66"/>
      <c r="L14" s="66"/>
      <c r="M14" s="66"/>
      <c r="P14" s="30">
        <v>2009.0</v>
      </c>
      <c r="Q14" s="66"/>
      <c r="R14" s="66">
        <v>29996.407143793916</v>
      </c>
      <c r="S14" s="66">
        <v>45234.581972841224</v>
      </c>
      <c r="T14" s="66">
        <v>55909.94331843175</v>
      </c>
      <c r="U14" s="66">
        <v>62507.31663000671</v>
      </c>
      <c r="V14" s="66">
        <v>66320.26294443711</v>
      </c>
      <c r="W14" s="66">
        <v>68110.9100439369</v>
      </c>
      <c r="X14" s="66"/>
      <c r="Y14" s="66"/>
      <c r="Z14" s="66"/>
      <c r="AA14" s="66"/>
      <c r="AB14" s="66"/>
    </row>
    <row r="15" ht="12.75" customHeight="1">
      <c r="A15" s="30">
        <v>2010.0</v>
      </c>
      <c r="B15" s="66">
        <v>47025.19805755429</v>
      </c>
      <c r="C15" s="66">
        <v>62026.23623791411</v>
      </c>
      <c r="D15" s="66">
        <v>68849.12222408467</v>
      </c>
      <c r="E15" s="66">
        <v>71258.84150192763</v>
      </c>
      <c r="F15" s="66">
        <v>70973.80613591992</v>
      </c>
      <c r="G15" s="66">
        <v>71115.75374819175</v>
      </c>
      <c r="P15" s="30">
        <v>2010.0</v>
      </c>
      <c r="Q15" s="66">
        <v>10418.129242136674</v>
      </c>
      <c r="R15" s="66">
        <v>27680.969396357144</v>
      </c>
      <c r="S15" s="66">
        <v>42905.50256435358</v>
      </c>
      <c r="T15" s="66">
        <v>52773.768154154895</v>
      </c>
      <c r="U15" s="66">
        <v>58948.29902819102</v>
      </c>
      <c r="V15" s="66">
        <v>62485.19696988248</v>
      </c>
    </row>
    <row r="16" ht="12.75" customHeight="1">
      <c r="A16" s="30">
        <v>2011.0</v>
      </c>
      <c r="B16" s="66">
        <v>46780.550325319105</v>
      </c>
      <c r="C16" s="66">
        <v>63995.79284503654</v>
      </c>
      <c r="D16" s="66">
        <v>71227.31743652567</v>
      </c>
      <c r="E16" s="66">
        <v>73221.68232474838</v>
      </c>
      <c r="F16" s="66">
        <v>73880.6774656711</v>
      </c>
      <c r="N16" s="65"/>
      <c r="O16" s="65"/>
      <c r="P16" s="30">
        <v>2011.0</v>
      </c>
      <c r="Q16" s="66">
        <v>10469.767690959055</v>
      </c>
      <c r="R16" s="66">
        <v>28634.814634773014</v>
      </c>
      <c r="S16" s="66">
        <v>44269.423425359084</v>
      </c>
      <c r="T16" s="66">
        <v>54717.00735374383</v>
      </c>
      <c r="U16" s="66">
        <v>61009.46319942437</v>
      </c>
      <c r="AC16" s="65"/>
    </row>
    <row r="17" ht="12.75" customHeight="1">
      <c r="A17" s="30">
        <v>2012.0</v>
      </c>
      <c r="B17" s="66">
        <v>46351.969135380576</v>
      </c>
      <c r="C17" s="66">
        <v>68445.97408584683</v>
      </c>
      <c r="D17" s="66">
        <v>78366.46344260321</v>
      </c>
      <c r="E17" s="66">
        <v>81042.88600506118</v>
      </c>
      <c r="N17" s="65"/>
      <c r="O17" s="65"/>
      <c r="P17" s="30">
        <v>2012.0</v>
      </c>
      <c r="Q17" s="66">
        <v>9887.831038621705</v>
      </c>
      <c r="R17" s="66">
        <v>32289.0846014967</v>
      </c>
      <c r="S17" s="66">
        <v>50187.55014753785</v>
      </c>
      <c r="T17" s="66">
        <v>62041.37383043879</v>
      </c>
      <c r="AC17" s="65"/>
    </row>
    <row r="18" ht="12.75" customHeight="1">
      <c r="A18" s="30">
        <v>2013.0</v>
      </c>
      <c r="B18" s="66">
        <v>42576.796442802945</v>
      </c>
      <c r="C18" s="66">
        <v>57265.79121556996</v>
      </c>
      <c r="D18" s="66">
        <v>65798.39410668988</v>
      </c>
      <c r="N18" s="65"/>
      <c r="O18" s="65"/>
      <c r="P18" s="30">
        <v>2013.0</v>
      </c>
      <c r="Q18" s="66">
        <v>9300.45432059487</v>
      </c>
      <c r="R18" s="66">
        <v>26831.8107149162</v>
      </c>
      <c r="S18" s="66">
        <v>41159.99763668145</v>
      </c>
      <c r="AC18" s="65"/>
    </row>
    <row r="19" ht="12.75" customHeight="1">
      <c r="A19" s="30">
        <v>2014.0</v>
      </c>
      <c r="B19" s="66">
        <v>38743.75746976689</v>
      </c>
      <c r="C19" s="66">
        <v>58386.842506938694</v>
      </c>
      <c r="D19" s="65"/>
      <c r="N19" s="65"/>
      <c r="O19" s="65"/>
      <c r="P19" s="30">
        <v>2014.0</v>
      </c>
      <c r="Q19" s="66">
        <v>9235.008046929624</v>
      </c>
      <c r="R19" s="66">
        <v>26495.238086641097</v>
      </c>
      <c r="S19" s="65"/>
      <c r="AC19" s="65"/>
    </row>
    <row r="20" ht="12.75" customHeight="1">
      <c r="A20" s="30">
        <v>2015.0</v>
      </c>
      <c r="B20" s="66">
        <v>43013.27051763312</v>
      </c>
      <c r="P20" s="30">
        <v>2015.0</v>
      </c>
      <c r="Q20" s="66">
        <v>9643.988459452114</v>
      </c>
    </row>
    <row r="21" ht="12.75" customHeight="1"/>
    <row r="22" ht="12.75" customHeight="1"/>
    <row r="23" ht="12.75" customHeight="1"/>
    <row r="24" ht="12.75" customHeight="1">
      <c r="A24" s="61" t="s">
        <v>101</v>
      </c>
      <c r="B24" s="62" t="s">
        <v>105</v>
      </c>
      <c r="O24" s="62"/>
      <c r="P24" s="61" t="s">
        <v>101</v>
      </c>
      <c r="Q24" s="62" t="s">
        <v>106</v>
      </c>
    </row>
    <row r="25" ht="12.75" customHeight="1">
      <c r="A25" s="30" t="s">
        <v>101</v>
      </c>
      <c r="B25" s="62" t="s">
        <v>107</v>
      </c>
      <c r="O25" s="62"/>
      <c r="P25" s="30" t="s">
        <v>101</v>
      </c>
      <c r="Q25" s="62" t="s">
        <v>107</v>
      </c>
    </row>
    <row r="26" ht="12.75" customHeight="1">
      <c r="A26" s="30"/>
      <c r="B26" s="30">
        <v>12.0</v>
      </c>
      <c r="C26" s="30">
        <v>24.0</v>
      </c>
      <c r="D26" s="30">
        <v>36.0</v>
      </c>
      <c r="E26" s="30">
        <v>48.0</v>
      </c>
      <c r="F26" s="30">
        <v>60.0</v>
      </c>
      <c r="G26" s="30">
        <v>72.0</v>
      </c>
      <c r="H26" s="30">
        <v>84.0</v>
      </c>
      <c r="I26" s="30">
        <v>96.0</v>
      </c>
      <c r="J26" s="30">
        <v>108.0</v>
      </c>
      <c r="K26" s="30">
        <v>120.0</v>
      </c>
      <c r="L26" s="30">
        <v>132.0</v>
      </c>
      <c r="M26" s="30">
        <v>144.0</v>
      </c>
      <c r="N26" s="30">
        <v>156.0</v>
      </c>
      <c r="O26" s="30"/>
      <c r="P26" s="30"/>
      <c r="Q26" s="30">
        <v>12.0</v>
      </c>
      <c r="R26" s="30">
        <v>24.0</v>
      </c>
      <c r="S26" s="30">
        <v>36.0</v>
      </c>
      <c r="T26" s="30">
        <v>48.0</v>
      </c>
      <c r="U26" s="30">
        <v>60.0</v>
      </c>
      <c r="V26" s="30">
        <v>72.0</v>
      </c>
      <c r="W26" s="30">
        <v>84.0</v>
      </c>
      <c r="X26" s="30">
        <v>96.0</v>
      </c>
      <c r="Y26" s="30">
        <v>108.0</v>
      </c>
      <c r="Z26" s="30">
        <v>120.0</v>
      </c>
      <c r="AA26" s="30">
        <v>132.0</v>
      </c>
      <c r="AB26" s="30">
        <v>144.0</v>
      </c>
      <c r="AC26" s="30">
        <v>156.0</v>
      </c>
    </row>
    <row r="27" ht="12.75" customHeight="1">
      <c r="A27" s="30" t="s">
        <v>74</v>
      </c>
      <c r="B27" s="30" t="s">
        <v>108</v>
      </c>
      <c r="C27" s="30" t="s">
        <v>108</v>
      </c>
      <c r="D27" s="30" t="s">
        <v>108</v>
      </c>
      <c r="E27" s="30" t="s">
        <v>108</v>
      </c>
      <c r="F27" s="30" t="s">
        <v>108</v>
      </c>
      <c r="G27" s="30" t="s">
        <v>108</v>
      </c>
      <c r="H27" s="30" t="s">
        <v>108</v>
      </c>
      <c r="I27" s="30" t="s">
        <v>108</v>
      </c>
      <c r="J27" s="30" t="s">
        <v>108</v>
      </c>
      <c r="K27" s="30" t="s">
        <v>108</v>
      </c>
      <c r="L27" s="30" t="s">
        <v>108</v>
      </c>
      <c r="M27" s="30" t="s">
        <v>108</v>
      </c>
      <c r="N27" s="30" t="s">
        <v>108</v>
      </c>
      <c r="O27" s="30"/>
      <c r="P27" s="30" t="s">
        <v>74</v>
      </c>
      <c r="Q27" s="30" t="s">
        <v>108</v>
      </c>
      <c r="R27" s="30" t="s">
        <v>108</v>
      </c>
      <c r="S27" s="30" t="s">
        <v>108</v>
      </c>
      <c r="T27" s="30" t="s">
        <v>108</v>
      </c>
      <c r="U27" s="30" t="s">
        <v>108</v>
      </c>
      <c r="V27" s="30" t="s">
        <v>108</v>
      </c>
      <c r="W27" s="30" t="s">
        <v>108</v>
      </c>
      <c r="X27" s="30" t="s">
        <v>108</v>
      </c>
      <c r="Y27" s="30" t="s">
        <v>108</v>
      </c>
      <c r="Z27" s="30" t="s">
        <v>108</v>
      </c>
      <c r="AA27" s="30" t="s">
        <v>108</v>
      </c>
      <c r="AB27" s="30" t="s">
        <v>108</v>
      </c>
      <c r="AC27" s="30" t="s">
        <v>108</v>
      </c>
    </row>
    <row r="28" ht="12.75" customHeight="1">
      <c r="A28" s="63" t="s">
        <v>84</v>
      </c>
      <c r="B28" s="67">
        <v>24.0</v>
      </c>
      <c r="C28" s="67">
        <v>36.0</v>
      </c>
      <c r="D28" s="67">
        <v>48.0</v>
      </c>
      <c r="E28" s="67">
        <v>60.0</v>
      </c>
      <c r="F28" s="67">
        <v>72.0</v>
      </c>
      <c r="G28" s="67">
        <v>84.0</v>
      </c>
      <c r="H28" s="67">
        <v>96.0</v>
      </c>
      <c r="I28" s="67">
        <v>108.0</v>
      </c>
      <c r="J28" s="67">
        <v>120.0</v>
      </c>
      <c r="K28" s="67">
        <v>132.0</v>
      </c>
      <c r="L28" s="67">
        <v>144.0</v>
      </c>
      <c r="M28" s="67">
        <v>156.0</v>
      </c>
      <c r="N28" s="67" t="s">
        <v>77</v>
      </c>
      <c r="O28" s="67"/>
      <c r="P28" s="63" t="s">
        <v>84</v>
      </c>
      <c r="Q28" s="67">
        <v>24.0</v>
      </c>
      <c r="R28" s="67">
        <v>36.0</v>
      </c>
      <c r="S28" s="67">
        <v>48.0</v>
      </c>
      <c r="T28" s="67">
        <v>60.0</v>
      </c>
      <c r="U28" s="67">
        <v>72.0</v>
      </c>
      <c r="V28" s="67">
        <v>84.0</v>
      </c>
      <c r="W28" s="67">
        <v>96.0</v>
      </c>
      <c r="X28" s="67">
        <v>108.0</v>
      </c>
      <c r="Y28" s="67">
        <v>120.0</v>
      </c>
      <c r="Z28" s="67">
        <v>132.0</v>
      </c>
      <c r="AA28" s="67">
        <v>144.0</v>
      </c>
      <c r="AB28" s="67">
        <v>156.0</v>
      </c>
      <c r="AC28" s="67" t="s">
        <v>77</v>
      </c>
    </row>
    <row r="29" ht="12.75" customHeight="1">
      <c r="A29" s="63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3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 ht="12.75" customHeight="1">
      <c r="A30" s="30">
        <f t="shared" ref="A30:A41" si="3">A8</f>
        <v>2003</v>
      </c>
      <c r="B30" s="65"/>
      <c r="C30" s="65"/>
      <c r="D30" s="65"/>
      <c r="E30" s="65"/>
      <c r="F30" s="65"/>
      <c r="G30" s="65"/>
      <c r="H30" s="65"/>
      <c r="I30" s="65">
        <f t="shared" ref="I30:M30" si="1">IFERROR(J8/I8,1)</f>
        <v>1.019549852</v>
      </c>
      <c r="J30" s="65">
        <f t="shared" si="1"/>
        <v>1.009591446</v>
      </c>
      <c r="K30" s="65">
        <f t="shared" si="1"/>
        <v>0.9810547499</v>
      </c>
      <c r="L30" s="65">
        <f t="shared" si="1"/>
        <v>1.019173645</v>
      </c>
      <c r="M30" s="65">
        <f t="shared" si="1"/>
        <v>0.9900990099</v>
      </c>
      <c r="N30" s="65"/>
      <c r="O30" s="65"/>
      <c r="P30" s="30">
        <f t="shared" ref="P30:P41" si="5">P8</f>
        <v>2003</v>
      </c>
      <c r="Q30" s="65"/>
      <c r="R30" s="65"/>
      <c r="S30" s="65"/>
      <c r="T30" s="65"/>
      <c r="U30" s="65"/>
      <c r="V30" s="65"/>
      <c r="W30" s="65"/>
      <c r="X30" s="65">
        <f t="shared" ref="X30:AB30" si="2">IFERROR(Y8/X8,1)</f>
        <v>1.025476383</v>
      </c>
      <c r="Y30" s="65">
        <f t="shared" si="2"/>
        <v>1.022928595</v>
      </c>
      <c r="Z30" s="65">
        <f t="shared" si="2"/>
        <v>1</v>
      </c>
      <c r="AA30" s="65">
        <f t="shared" si="2"/>
        <v>1.021460457</v>
      </c>
      <c r="AB30" s="65">
        <f t="shared" si="2"/>
        <v>1.006998686</v>
      </c>
      <c r="AC30" s="65"/>
    </row>
    <row r="31" ht="12.75" customHeight="1">
      <c r="A31" s="30">
        <f t="shared" si="3"/>
        <v>2004</v>
      </c>
      <c r="B31" s="65"/>
      <c r="C31" s="65"/>
      <c r="D31" s="65"/>
      <c r="E31" s="65"/>
      <c r="F31" s="65"/>
      <c r="G31" s="65"/>
      <c r="H31" s="65">
        <f t="shared" ref="H31:L31" si="4">IFERROR(I9/H9,1)</f>
        <v>0.993</v>
      </c>
      <c r="I31" s="65">
        <f t="shared" si="4"/>
        <v>1.047190288</v>
      </c>
      <c r="J31" s="65">
        <f t="shared" si="4"/>
        <v>1.009653461</v>
      </c>
      <c r="K31" s="65">
        <f t="shared" si="4"/>
        <v>1.025205298</v>
      </c>
      <c r="L31" s="65">
        <f t="shared" si="4"/>
        <v>0.9917442204</v>
      </c>
      <c r="M31" s="65"/>
      <c r="N31" s="65"/>
      <c r="O31" s="65"/>
      <c r="P31" s="30">
        <f t="shared" si="5"/>
        <v>2004</v>
      </c>
      <c r="Q31" s="65"/>
      <c r="R31" s="65"/>
      <c r="S31" s="65"/>
      <c r="T31" s="65"/>
      <c r="U31" s="65"/>
      <c r="V31" s="65"/>
      <c r="W31" s="65">
        <f t="shared" ref="W31:AA31" si="6">IFERROR(X9/W9,1)</f>
        <v>1.015</v>
      </c>
      <c r="X31" s="65">
        <f t="shared" si="6"/>
        <v>1.03736268</v>
      </c>
      <c r="Y31" s="65">
        <f t="shared" si="6"/>
        <v>1.014294562</v>
      </c>
      <c r="Z31" s="65">
        <f t="shared" si="6"/>
        <v>1.035396822</v>
      </c>
      <c r="AA31" s="65">
        <f t="shared" si="6"/>
        <v>1.019384144</v>
      </c>
      <c r="AB31" s="65"/>
      <c r="AC31" s="65"/>
    </row>
    <row r="32" ht="12.75" customHeight="1">
      <c r="A32" s="30">
        <f t="shared" si="3"/>
        <v>2005</v>
      </c>
      <c r="B32" s="65"/>
      <c r="C32" s="65"/>
      <c r="D32" s="65"/>
      <c r="E32" s="65"/>
      <c r="F32" s="65"/>
      <c r="G32" s="65">
        <f t="shared" ref="G32:K32" si="7">IFERROR(H10/G10,1)</f>
        <v>0.992</v>
      </c>
      <c r="H32" s="65">
        <f t="shared" si="7"/>
        <v>0.998</v>
      </c>
      <c r="I32" s="65">
        <f t="shared" si="7"/>
        <v>0.9934589574</v>
      </c>
      <c r="J32" s="65">
        <f t="shared" si="7"/>
        <v>1.020307383</v>
      </c>
      <c r="K32" s="65">
        <f t="shared" si="7"/>
        <v>0.9941082094</v>
      </c>
      <c r="L32" s="65"/>
      <c r="M32" s="65"/>
      <c r="N32" s="65"/>
      <c r="O32" s="65"/>
      <c r="P32" s="30">
        <f t="shared" si="5"/>
        <v>2005</v>
      </c>
      <c r="Q32" s="65"/>
      <c r="R32" s="65"/>
      <c r="S32" s="65"/>
      <c r="T32" s="65"/>
      <c r="U32" s="65"/>
      <c r="V32" s="65">
        <f t="shared" ref="V32:Z32" si="8">IFERROR(W10/V10,1)</f>
        <v>1.03</v>
      </c>
      <c r="W32" s="65">
        <f t="shared" si="8"/>
        <v>1.022</v>
      </c>
      <c r="X32" s="65">
        <f t="shared" si="8"/>
        <v>1.003487461</v>
      </c>
      <c r="Y32" s="65">
        <f t="shared" si="8"/>
        <v>1.026335452</v>
      </c>
      <c r="Z32" s="65">
        <f t="shared" si="8"/>
        <v>1.01152064</v>
      </c>
      <c r="AA32" s="65"/>
      <c r="AB32" s="65"/>
      <c r="AC32" s="65"/>
    </row>
    <row r="33" ht="12.75" customHeight="1">
      <c r="A33" s="30">
        <f t="shared" si="3"/>
        <v>2006</v>
      </c>
      <c r="B33" s="65"/>
      <c r="C33" s="65"/>
      <c r="D33" s="65"/>
      <c r="E33" s="65"/>
      <c r="F33" s="65">
        <f t="shared" ref="F33:J33" si="9">IFERROR(G11/F11,1)</f>
        <v>0.991</v>
      </c>
      <c r="G33" s="65">
        <f t="shared" si="9"/>
        <v>0.987</v>
      </c>
      <c r="H33" s="65">
        <f t="shared" si="9"/>
        <v>1.003</v>
      </c>
      <c r="I33" s="65">
        <f t="shared" si="9"/>
        <v>1.006458792</v>
      </c>
      <c r="J33" s="65">
        <f t="shared" si="9"/>
        <v>0.9899538246</v>
      </c>
      <c r="K33" s="65"/>
      <c r="L33" s="65"/>
      <c r="M33" s="65"/>
      <c r="N33" s="65"/>
      <c r="O33" s="65"/>
      <c r="P33" s="30">
        <f t="shared" si="5"/>
        <v>2006</v>
      </c>
      <c r="Q33" s="65"/>
      <c r="R33" s="65"/>
      <c r="S33" s="65"/>
      <c r="T33" s="65"/>
      <c r="U33" s="65">
        <f t="shared" ref="U33:Y33" si="10">IFERROR(V11/U11,1)</f>
        <v>1.06</v>
      </c>
      <c r="V33" s="65">
        <f t="shared" si="10"/>
        <v>1.032</v>
      </c>
      <c r="W33" s="65">
        <f t="shared" si="10"/>
        <v>1.025</v>
      </c>
      <c r="X33" s="65">
        <f t="shared" si="10"/>
        <v>1.023568506</v>
      </c>
      <c r="Y33" s="65">
        <f t="shared" si="10"/>
        <v>1.010916296</v>
      </c>
      <c r="Z33" s="65"/>
      <c r="AA33" s="65"/>
      <c r="AB33" s="65"/>
      <c r="AC33" s="65"/>
    </row>
    <row r="34" ht="12.75" customHeight="1">
      <c r="A34" s="30">
        <f t="shared" si="3"/>
        <v>2007</v>
      </c>
      <c r="B34" s="65"/>
      <c r="C34" s="65"/>
      <c r="D34" s="65"/>
      <c r="E34" s="65">
        <f t="shared" ref="E34:I34" si="11">IFERROR(F12/E12,1)</f>
        <v>1.001</v>
      </c>
      <c r="F34" s="65">
        <f t="shared" si="11"/>
        <v>0.995</v>
      </c>
      <c r="G34" s="65">
        <f t="shared" si="11"/>
        <v>1.003</v>
      </c>
      <c r="H34" s="65">
        <f t="shared" si="11"/>
        <v>0.99</v>
      </c>
      <c r="I34" s="65">
        <f t="shared" si="11"/>
        <v>0.9944847912</v>
      </c>
      <c r="J34" s="65"/>
      <c r="K34" s="65"/>
      <c r="L34" s="65"/>
      <c r="M34" s="65"/>
      <c r="N34" s="65"/>
      <c r="O34" s="65"/>
      <c r="P34" s="30">
        <f t="shared" si="5"/>
        <v>2007</v>
      </c>
      <c r="Q34" s="65"/>
      <c r="R34" s="65"/>
      <c r="S34" s="65"/>
      <c r="T34" s="65">
        <f t="shared" ref="T34:X34" si="12">IFERROR(U12/T12,1)</f>
        <v>1.115</v>
      </c>
      <c r="U34" s="65">
        <f t="shared" si="12"/>
        <v>1.066</v>
      </c>
      <c r="V34" s="65">
        <f t="shared" si="12"/>
        <v>1.04</v>
      </c>
      <c r="W34" s="65">
        <f t="shared" si="12"/>
        <v>1.017</v>
      </c>
      <c r="X34" s="65">
        <f t="shared" si="12"/>
        <v>1.011721951</v>
      </c>
      <c r="Y34" s="65"/>
      <c r="Z34" s="65"/>
      <c r="AA34" s="65"/>
      <c r="AB34" s="65"/>
      <c r="AC34" s="65"/>
    </row>
    <row r="35" ht="12.75" customHeight="1">
      <c r="A35" s="30">
        <f t="shared" si="3"/>
        <v>2008</v>
      </c>
      <c r="B35" s="65"/>
      <c r="C35" s="65"/>
      <c r="D35" s="65">
        <f t="shared" ref="D35:H35" si="13">IFERROR(E13/D13,1)</f>
        <v>1.035</v>
      </c>
      <c r="E35" s="65">
        <f t="shared" si="13"/>
        <v>1.004</v>
      </c>
      <c r="F35" s="65">
        <f t="shared" si="13"/>
        <v>0.993</v>
      </c>
      <c r="G35" s="65">
        <f t="shared" si="13"/>
        <v>0.998</v>
      </c>
      <c r="H35" s="65">
        <f t="shared" si="13"/>
        <v>0.99</v>
      </c>
      <c r="I35" s="65"/>
      <c r="J35" s="65"/>
      <c r="K35" s="65"/>
      <c r="L35" s="65"/>
      <c r="M35" s="65"/>
      <c r="N35" s="65"/>
      <c r="P35" s="30">
        <f t="shared" si="5"/>
        <v>2008</v>
      </c>
      <c r="Q35" s="65"/>
      <c r="R35" s="65"/>
      <c r="S35" s="65">
        <f t="shared" ref="S35:W35" si="14">IFERROR(T13/S13,1)</f>
        <v>1.212</v>
      </c>
      <c r="T35" s="65">
        <f t="shared" si="14"/>
        <v>1.137</v>
      </c>
      <c r="U35" s="65">
        <f t="shared" si="14"/>
        <v>1.057</v>
      </c>
      <c r="V35" s="65">
        <f t="shared" si="14"/>
        <v>1.03</v>
      </c>
      <c r="W35" s="65">
        <f t="shared" si="14"/>
        <v>1.015</v>
      </c>
      <c r="X35" s="65"/>
      <c r="Y35" s="65"/>
      <c r="Z35" s="65"/>
      <c r="AA35" s="65"/>
      <c r="AB35" s="65"/>
      <c r="AC35" s="65"/>
    </row>
    <row r="36" ht="12.75" customHeight="1">
      <c r="A36" s="30">
        <f t="shared" si="3"/>
        <v>2009</v>
      </c>
      <c r="B36" s="65"/>
      <c r="C36" s="65">
        <f t="shared" ref="C36:G36" si="15">IFERROR(D14/C14,1)</f>
        <v>1.099</v>
      </c>
      <c r="D36" s="65">
        <f t="shared" si="15"/>
        <v>1.033</v>
      </c>
      <c r="E36" s="65">
        <f t="shared" si="15"/>
        <v>0.996</v>
      </c>
      <c r="F36" s="65">
        <f t="shared" si="15"/>
        <v>0.995</v>
      </c>
      <c r="G36" s="65">
        <f t="shared" si="15"/>
        <v>0.996</v>
      </c>
      <c r="H36" s="65"/>
      <c r="I36" s="65"/>
      <c r="J36" s="65"/>
      <c r="K36" s="65"/>
      <c r="L36" s="65"/>
      <c r="M36" s="65"/>
      <c r="N36" s="65"/>
      <c r="P36" s="30">
        <f t="shared" si="5"/>
        <v>2009</v>
      </c>
      <c r="Q36" s="65"/>
      <c r="R36" s="65">
        <f t="shared" ref="R36:V36" si="16">IFERROR(S14/R14,1)</f>
        <v>1.508</v>
      </c>
      <c r="S36" s="65">
        <f t="shared" si="16"/>
        <v>1.236</v>
      </c>
      <c r="T36" s="65">
        <f t="shared" si="16"/>
        <v>1.118</v>
      </c>
      <c r="U36" s="65">
        <f t="shared" si="16"/>
        <v>1.061</v>
      </c>
      <c r="V36" s="65">
        <f t="shared" si="16"/>
        <v>1.027</v>
      </c>
      <c r="W36" s="65"/>
      <c r="X36" s="65"/>
      <c r="Y36" s="65"/>
      <c r="Z36" s="65"/>
      <c r="AA36" s="65"/>
      <c r="AB36" s="65"/>
      <c r="AC36" s="65"/>
    </row>
    <row r="37" ht="12.75" customHeight="1">
      <c r="A37" s="30">
        <f t="shared" si="3"/>
        <v>2010</v>
      </c>
      <c r="B37" s="65">
        <f t="shared" ref="B37:F37" si="17">IFERROR(C15/B15,1)</f>
        <v>1.319</v>
      </c>
      <c r="C37" s="65">
        <f t="shared" si="17"/>
        <v>1.11</v>
      </c>
      <c r="D37" s="65">
        <f t="shared" si="17"/>
        <v>1.035</v>
      </c>
      <c r="E37" s="65">
        <f t="shared" si="17"/>
        <v>0.996</v>
      </c>
      <c r="F37" s="65">
        <f t="shared" si="17"/>
        <v>1.002</v>
      </c>
      <c r="G37" s="65"/>
      <c r="H37" s="65"/>
      <c r="I37" s="65"/>
      <c r="J37" s="65"/>
      <c r="K37" s="65"/>
      <c r="L37" s="65"/>
      <c r="M37" s="65"/>
      <c r="N37" s="65"/>
      <c r="P37" s="30">
        <f t="shared" si="5"/>
        <v>2010</v>
      </c>
      <c r="Q37" s="65">
        <f t="shared" ref="Q37:U37" si="18">IFERROR(R15/Q15,1)</f>
        <v>2.657</v>
      </c>
      <c r="R37" s="65">
        <f t="shared" si="18"/>
        <v>1.55</v>
      </c>
      <c r="S37" s="65">
        <f t="shared" si="18"/>
        <v>1.23</v>
      </c>
      <c r="T37" s="65">
        <f t="shared" si="18"/>
        <v>1.117</v>
      </c>
      <c r="U37" s="65">
        <f t="shared" si="18"/>
        <v>1.06</v>
      </c>
      <c r="V37" s="65"/>
      <c r="W37" s="65"/>
      <c r="X37" s="65"/>
      <c r="Y37" s="65"/>
      <c r="Z37" s="65"/>
      <c r="AA37" s="65"/>
      <c r="AB37" s="65"/>
      <c r="AC37" s="65"/>
    </row>
    <row r="38" ht="12.75" customHeight="1">
      <c r="A38" s="30">
        <f t="shared" si="3"/>
        <v>2011</v>
      </c>
      <c r="B38" s="65">
        <f t="shared" ref="B38:E38" si="19">IFERROR(C16/B16,1)</f>
        <v>1.368</v>
      </c>
      <c r="C38" s="65">
        <f t="shared" si="19"/>
        <v>1.113</v>
      </c>
      <c r="D38" s="65">
        <f t="shared" si="19"/>
        <v>1.028</v>
      </c>
      <c r="E38" s="65">
        <f t="shared" si="19"/>
        <v>1.009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30">
        <f t="shared" si="5"/>
        <v>2011</v>
      </c>
      <c r="Q38" s="65">
        <f t="shared" ref="Q38:T38" si="20">IFERROR(R16/Q16,1)</f>
        <v>2.735</v>
      </c>
      <c r="R38" s="65">
        <f t="shared" si="20"/>
        <v>1.546</v>
      </c>
      <c r="S38" s="65">
        <f t="shared" si="20"/>
        <v>1.236</v>
      </c>
      <c r="T38" s="65">
        <f t="shared" si="20"/>
        <v>1.115</v>
      </c>
      <c r="U38" s="65"/>
      <c r="V38" s="65"/>
      <c r="W38" s="65"/>
      <c r="X38" s="65"/>
      <c r="Y38" s="65"/>
      <c r="Z38" s="65"/>
      <c r="AA38" s="65"/>
      <c r="AB38" s="65"/>
      <c r="AC38" s="65"/>
    </row>
    <row r="39" ht="12.75" customHeight="1">
      <c r="A39" s="30">
        <f t="shared" si="3"/>
        <v>2012</v>
      </c>
      <c r="B39" s="65">
        <f t="shared" ref="B39:D39" si="21">IFERROR(C17/B17,1)</f>
        <v>1.476657311</v>
      </c>
      <c r="C39" s="65">
        <f t="shared" si="21"/>
        <v>1.144938975</v>
      </c>
      <c r="D39" s="65">
        <f t="shared" si="21"/>
        <v>1.034152652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30">
        <f t="shared" si="5"/>
        <v>2012</v>
      </c>
      <c r="Q39" s="65">
        <f t="shared" ref="Q39:S39" si="22">IFERROR(R17/Q17,1)</f>
        <v>3.265537657</v>
      </c>
      <c r="R39" s="65">
        <f t="shared" si="22"/>
        <v>1.554319386</v>
      </c>
      <c r="S39" s="65">
        <f t="shared" si="22"/>
        <v>1.236190522</v>
      </c>
      <c r="T39" s="65"/>
      <c r="U39" s="65"/>
      <c r="V39" s="65"/>
      <c r="W39" s="65"/>
      <c r="X39" s="65"/>
      <c r="Y39" s="65"/>
      <c r="Z39" s="65"/>
      <c r="AA39" s="65"/>
      <c r="AB39" s="65"/>
      <c r="AC39" s="65"/>
    </row>
    <row r="40" ht="12.75" customHeight="1">
      <c r="A40" s="30">
        <f t="shared" si="3"/>
        <v>2013</v>
      </c>
      <c r="B40" s="65">
        <f t="shared" ref="B40:C40" si="23">IFERROR(C18/B18,1)</f>
        <v>1.345</v>
      </c>
      <c r="C40" s="65">
        <f t="shared" si="23"/>
        <v>1.149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30">
        <f t="shared" si="5"/>
        <v>2013</v>
      </c>
      <c r="Q40" s="65">
        <f t="shared" ref="Q40:R40" si="24">IFERROR(R18/Q18,1)</f>
        <v>2.885</v>
      </c>
      <c r="R40" s="65">
        <f t="shared" si="24"/>
        <v>1.534</v>
      </c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</row>
    <row r="41" ht="12.75" customHeight="1">
      <c r="A41" s="30">
        <f t="shared" si="3"/>
        <v>2014</v>
      </c>
      <c r="B41" s="65">
        <f>IFERROR(C19/B19,1)</f>
        <v>1.507</v>
      </c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30">
        <f t="shared" si="5"/>
        <v>2014</v>
      </c>
      <c r="Q41" s="65">
        <f>IFERROR(R19/Q19,1)</f>
        <v>2.869</v>
      </c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</row>
    <row r="42" ht="12.75" customHeight="1">
      <c r="B42" s="30"/>
      <c r="C42" s="30"/>
      <c r="H42" s="30"/>
      <c r="I42" s="30"/>
      <c r="J42" s="30"/>
      <c r="K42" s="30"/>
      <c r="L42" s="30"/>
      <c r="M42" s="30"/>
      <c r="N42" s="30"/>
      <c r="O42" s="30"/>
      <c r="Q42" s="30"/>
      <c r="R42" s="30"/>
      <c r="W42" s="30"/>
      <c r="X42" s="30"/>
      <c r="Y42" s="30"/>
      <c r="Z42" s="30"/>
      <c r="AA42" s="30"/>
      <c r="AB42" s="30"/>
      <c r="AC42" s="30"/>
    </row>
    <row r="43" ht="12.75" customHeight="1">
      <c r="A43" s="68" t="s">
        <v>109</v>
      </c>
      <c r="P43" s="68" t="s">
        <v>109</v>
      </c>
    </row>
    <row r="44" ht="12.75" customHeight="1">
      <c r="A44" s="69" t="s">
        <v>110</v>
      </c>
      <c r="B44" s="65">
        <f>AVERAGE(B40:B41)</f>
        <v>1.426</v>
      </c>
      <c r="C44" s="65">
        <f>AVERAGE(C39:C40)</f>
        <v>1.146969488</v>
      </c>
      <c r="D44" s="65">
        <f>AVERAGE(D38:D39)</f>
        <v>1.031076326</v>
      </c>
      <c r="E44" s="65">
        <f>AVERAGE(E37:E38)</f>
        <v>1.0025</v>
      </c>
      <c r="F44" s="65">
        <f>AVERAGE(F36:F37)</f>
        <v>0.9985</v>
      </c>
      <c r="G44" s="65">
        <f>AVERAGE(G35:G36)</f>
        <v>0.997</v>
      </c>
      <c r="H44" s="65">
        <f>AVERAGE(H34:H35)</f>
        <v>0.99</v>
      </c>
      <c r="I44" s="65">
        <f>AVERAGE(I33:I34)</f>
        <v>1.000471792</v>
      </c>
      <c r="J44" s="65">
        <f>AVERAGE(J32:J33)</f>
        <v>1.005130604</v>
      </c>
      <c r="K44" s="65">
        <f>AVERAGE(K31:K32)</f>
        <v>1.009656754</v>
      </c>
      <c r="L44" s="65">
        <f>AVERAGE(L30:L31)</f>
        <v>1.005458933</v>
      </c>
      <c r="M44" s="70">
        <f>M$48</f>
        <v>0.9900990099</v>
      </c>
      <c r="N44" s="65"/>
      <c r="O44" s="65"/>
      <c r="P44" s="69" t="s">
        <v>110</v>
      </c>
      <c r="Q44" s="65">
        <f>AVERAGE(Q40:Q41)</f>
        <v>2.877</v>
      </c>
      <c r="R44" s="65">
        <f>AVERAGE(R39:R40)</f>
        <v>1.544159693</v>
      </c>
      <c r="S44" s="65">
        <f>AVERAGE(S38:S39)</f>
        <v>1.236095261</v>
      </c>
      <c r="T44" s="65">
        <f>AVERAGE(T37:T38)</f>
        <v>1.116</v>
      </c>
      <c r="U44" s="65">
        <f>AVERAGE(U36:U37)</f>
        <v>1.0605</v>
      </c>
      <c r="V44" s="65">
        <f>AVERAGE(V35:V36)</f>
        <v>1.0285</v>
      </c>
      <c r="W44" s="65">
        <f t="shared" ref="W44:X44" si="25">AVERAGE(W34:W35)</f>
        <v>1.016</v>
      </c>
      <c r="X44" s="65">
        <f t="shared" si="25"/>
        <v>1.011721951</v>
      </c>
      <c r="Y44" s="65">
        <f>AVERAGE(Y32:Y33)</f>
        <v>1.018625874</v>
      </c>
      <c r="Z44" s="65">
        <f>AVERAGE(Z31:Z32)</f>
        <v>1.023458731</v>
      </c>
      <c r="AA44" s="65">
        <f>AVERAGE(AA30:AA31)</f>
        <v>1.020422301</v>
      </c>
      <c r="AB44" s="70">
        <f>AB$48</f>
        <v>1.006998686</v>
      </c>
      <c r="AC44" s="65"/>
    </row>
    <row r="45" ht="12.75" customHeight="1">
      <c r="A45" s="69" t="s">
        <v>111</v>
      </c>
      <c r="B45" s="65">
        <f>AVERAGE(B39:B41)</f>
        <v>1.44288577</v>
      </c>
      <c r="C45" s="65">
        <f>AVERAGE(C38:C40)</f>
        <v>1.135646325</v>
      </c>
      <c r="D45" s="65">
        <f>AVERAGE(D37:D39)</f>
        <v>1.032384217</v>
      </c>
      <c r="E45" s="65">
        <f>AVERAGE(E36:E38)</f>
        <v>1.000333333</v>
      </c>
      <c r="F45" s="65">
        <f>AVERAGE(F35:F37)</f>
        <v>0.9966666667</v>
      </c>
      <c r="G45" s="65">
        <f>AVERAGE(G34:G36)</f>
        <v>0.999</v>
      </c>
      <c r="H45" s="65">
        <f>AVERAGE(H33:H35)</f>
        <v>0.9943333333</v>
      </c>
      <c r="I45" s="65">
        <f>AVERAGE(I32:I34)</f>
        <v>0.9981341802</v>
      </c>
      <c r="J45" s="65">
        <f>AVERAGE(J31:J33)</f>
        <v>1.006638223</v>
      </c>
      <c r="K45" s="65">
        <f>AVERAGE(K30:K32)</f>
        <v>1.000122752</v>
      </c>
      <c r="L45" s="70">
        <f t="shared" ref="L45:M45" si="26">L$48</f>
        <v>1.005458933</v>
      </c>
      <c r="M45" s="70">
        <f t="shared" si="26"/>
        <v>0.9900990099</v>
      </c>
      <c r="N45" s="65"/>
      <c r="O45" s="65"/>
      <c r="P45" s="69" t="s">
        <v>111</v>
      </c>
      <c r="Q45" s="65">
        <f>AVERAGE(Q39:Q41)</f>
        <v>3.006512552</v>
      </c>
      <c r="R45" s="65">
        <f>AVERAGE(R38:R40)</f>
        <v>1.544773129</v>
      </c>
      <c r="S45" s="65">
        <f>AVERAGE(S37:S39)</f>
        <v>1.234063507</v>
      </c>
      <c r="T45" s="65">
        <f>AVERAGE(T36:T38)</f>
        <v>1.116666667</v>
      </c>
      <c r="U45" s="65">
        <f>AVERAGE(U35:U37)</f>
        <v>1.059333333</v>
      </c>
      <c r="V45" s="65">
        <f>AVERAGE(V34:V36)</f>
        <v>1.032333333</v>
      </c>
      <c r="W45" s="65">
        <f t="shared" ref="W45:X45" si="27">AVERAGE(W33:W35)</f>
        <v>1.019</v>
      </c>
      <c r="X45" s="65">
        <f t="shared" si="27"/>
        <v>1.017645229</v>
      </c>
      <c r="Y45" s="65">
        <f>AVERAGE(Y31:Y33)</f>
        <v>1.017182104</v>
      </c>
      <c r="Z45" s="65">
        <f>AVERAGE(Z30:Z32)</f>
        <v>1.015639154</v>
      </c>
      <c r="AA45" s="70">
        <f t="shared" ref="AA45:AB45" si="28">AA$48</f>
        <v>1.020422301</v>
      </c>
      <c r="AB45" s="70">
        <f t="shared" si="28"/>
        <v>1.006998686</v>
      </c>
      <c r="AC45" s="65"/>
    </row>
    <row r="46" ht="12.75" customHeight="1">
      <c r="A46" s="69" t="s">
        <v>112</v>
      </c>
      <c r="B46" s="65">
        <f>AVERAGE(B38:B41)</f>
        <v>1.424164328</v>
      </c>
      <c r="C46" s="65">
        <f>AVERAGE(C37:C40)</f>
        <v>1.129234744</v>
      </c>
      <c r="D46" s="65">
        <f>AVERAGE(D36:D39)</f>
        <v>1.032538163</v>
      </c>
      <c r="E46" s="65">
        <f>AVERAGE(E35:E38)</f>
        <v>1.00125</v>
      </c>
      <c r="F46" s="65">
        <f>AVERAGE(F34:F37)</f>
        <v>0.99625</v>
      </c>
      <c r="G46" s="65">
        <f>AVERAGE(G33:G36)</f>
        <v>0.996</v>
      </c>
      <c r="H46" s="65">
        <f>AVERAGE(H32:H35)</f>
        <v>0.99525</v>
      </c>
      <c r="I46" s="65">
        <f>AVERAGE(I31:I34)</f>
        <v>1.010398207</v>
      </c>
      <c r="J46" s="65">
        <f>AVERAGE(J30:J33)</f>
        <v>1.007376529</v>
      </c>
      <c r="K46" s="70">
        <f t="shared" ref="K46:M46" si="29">K$48</f>
        <v>1.000122752</v>
      </c>
      <c r="L46" s="70">
        <f t="shared" si="29"/>
        <v>1.005458933</v>
      </c>
      <c r="M46" s="70">
        <f t="shared" si="29"/>
        <v>0.9900990099</v>
      </c>
      <c r="N46" s="65"/>
      <c r="O46" s="65"/>
      <c r="P46" s="69" t="s">
        <v>112</v>
      </c>
      <c r="Q46" s="65">
        <f>AVERAGE(Q38:Q41)</f>
        <v>2.938634414</v>
      </c>
      <c r="R46" s="65">
        <f>AVERAGE(R37:R40)</f>
        <v>1.546079846</v>
      </c>
      <c r="S46" s="65">
        <f>AVERAGE(S36:S39)</f>
        <v>1.234547631</v>
      </c>
      <c r="T46" s="65">
        <f>AVERAGE(T35:T38)</f>
        <v>1.12175</v>
      </c>
      <c r="U46" s="65">
        <f>AVERAGE(U34:U37)</f>
        <v>1.061</v>
      </c>
      <c r="V46" s="65">
        <f>AVERAGE(V33:V36)</f>
        <v>1.03225</v>
      </c>
      <c r="W46" s="65">
        <f t="shared" ref="W46:X46" si="30">AVERAGE(W32:W35)</f>
        <v>1.01975</v>
      </c>
      <c r="X46" s="65">
        <f t="shared" si="30"/>
        <v>1.012925973</v>
      </c>
      <c r="Y46" s="65">
        <f>AVERAGE(Y30:Y33)</f>
        <v>1.018618727</v>
      </c>
      <c r="Z46" s="70">
        <f t="shared" ref="Z46:AB46" si="31">Z$48</f>
        <v>1.015639154</v>
      </c>
      <c r="AA46" s="70">
        <f t="shared" si="31"/>
        <v>1.020422301</v>
      </c>
      <c r="AB46" s="70">
        <f t="shared" si="31"/>
        <v>1.006998686</v>
      </c>
      <c r="AC46" s="65"/>
    </row>
    <row r="47" ht="12.75" customHeight="1">
      <c r="A47" s="69" t="s">
        <v>113</v>
      </c>
      <c r="B47" s="65">
        <f>AVERAGE(B37:B41)</f>
        <v>1.403131462</v>
      </c>
      <c r="C47" s="65">
        <f>AVERAGE(C36:C40)</f>
        <v>1.123187795</v>
      </c>
      <c r="D47" s="65">
        <f>AVERAGE(D35:D39)</f>
        <v>1.03303053</v>
      </c>
      <c r="E47" s="65">
        <f>AVERAGE(E34:E38)</f>
        <v>1.0012</v>
      </c>
      <c r="F47" s="65">
        <f>AVERAGE(F33:F37)</f>
        <v>0.9952</v>
      </c>
      <c r="G47" s="65">
        <f>AVERAGE(G32:G36)</f>
        <v>0.9952</v>
      </c>
      <c r="H47" s="65">
        <f>AVERAGE(H31:H35)</f>
        <v>0.9948</v>
      </c>
      <c r="I47" s="65">
        <f>AVERAGE(I30:I34)</f>
        <v>1.012228536</v>
      </c>
      <c r="J47" s="70">
        <f t="shared" ref="J47:M47" si="32">J$48</f>
        <v>1.007376529</v>
      </c>
      <c r="K47" s="70">
        <f t="shared" si="32"/>
        <v>1.000122752</v>
      </c>
      <c r="L47" s="70">
        <f t="shared" si="32"/>
        <v>1.005458933</v>
      </c>
      <c r="M47" s="70">
        <f t="shared" si="32"/>
        <v>0.9900990099</v>
      </c>
      <c r="N47" s="65"/>
      <c r="O47" s="65"/>
      <c r="P47" s="69" t="s">
        <v>113</v>
      </c>
      <c r="Q47" s="65">
        <f>AVERAGE(Q37:Q41)</f>
        <v>2.882307531</v>
      </c>
      <c r="R47" s="65">
        <f>AVERAGE(R36:R40)</f>
        <v>1.538463877</v>
      </c>
      <c r="S47" s="65">
        <f>AVERAGE(S35:S39)</f>
        <v>1.230038104</v>
      </c>
      <c r="T47" s="65">
        <f>AVERAGE(T34:T38)</f>
        <v>1.1204</v>
      </c>
      <c r="U47" s="65">
        <f>AVERAGE(U33:U37)</f>
        <v>1.0608</v>
      </c>
      <c r="V47" s="65">
        <f>AVERAGE(V32:V36)</f>
        <v>1.0318</v>
      </c>
      <c r="W47" s="65">
        <f>AVERAGE(W31:W35)</f>
        <v>1.0188</v>
      </c>
      <c r="X47" s="65">
        <f>AVERAGE(X30:X34)</f>
        <v>1.020323396</v>
      </c>
      <c r="Y47" s="70">
        <f t="shared" ref="Y47:AB47" si="33">Y$48</f>
        <v>1.018618727</v>
      </c>
      <c r="Z47" s="70">
        <f t="shared" si="33"/>
        <v>1.015639154</v>
      </c>
      <c r="AA47" s="70">
        <f t="shared" si="33"/>
        <v>1.020422301</v>
      </c>
      <c r="AB47" s="70">
        <f t="shared" si="33"/>
        <v>1.006998686</v>
      </c>
      <c r="AC47" s="65"/>
    </row>
    <row r="48" ht="12.75" customHeight="1">
      <c r="A48" s="8" t="s">
        <v>114</v>
      </c>
      <c r="B48" s="65">
        <f t="shared" ref="B48:M48" si="34">AVERAGE(B30:B42)</f>
        <v>1.403131462</v>
      </c>
      <c r="C48" s="65">
        <f t="shared" si="34"/>
        <v>1.123187795</v>
      </c>
      <c r="D48" s="65">
        <f t="shared" si="34"/>
        <v>1.03303053</v>
      </c>
      <c r="E48" s="65">
        <f t="shared" si="34"/>
        <v>1.0012</v>
      </c>
      <c r="F48" s="65">
        <f t="shared" si="34"/>
        <v>0.9952</v>
      </c>
      <c r="G48" s="65">
        <f t="shared" si="34"/>
        <v>0.9952</v>
      </c>
      <c r="H48" s="65">
        <f t="shared" si="34"/>
        <v>0.9948</v>
      </c>
      <c r="I48" s="65">
        <f t="shared" si="34"/>
        <v>1.012228536</v>
      </c>
      <c r="J48" s="65">
        <f t="shared" si="34"/>
        <v>1.007376529</v>
      </c>
      <c r="K48" s="65">
        <f t="shared" si="34"/>
        <v>1.000122752</v>
      </c>
      <c r="L48" s="65">
        <f t="shared" si="34"/>
        <v>1.005458933</v>
      </c>
      <c r="M48" s="65">
        <f t="shared" si="34"/>
        <v>0.9900990099</v>
      </c>
      <c r="N48" s="65"/>
      <c r="O48" s="65"/>
      <c r="P48" s="8" t="s">
        <v>114</v>
      </c>
      <c r="Q48" s="65">
        <f t="shared" ref="Q48:AB48" si="35">AVERAGE(Q30:Q42)</f>
        <v>2.882307531</v>
      </c>
      <c r="R48" s="65">
        <f t="shared" si="35"/>
        <v>1.538463877</v>
      </c>
      <c r="S48" s="65">
        <f t="shared" si="35"/>
        <v>1.230038104</v>
      </c>
      <c r="T48" s="65">
        <f t="shared" si="35"/>
        <v>1.1204</v>
      </c>
      <c r="U48" s="65">
        <f t="shared" si="35"/>
        <v>1.0608</v>
      </c>
      <c r="V48" s="65">
        <f t="shared" si="35"/>
        <v>1.0318</v>
      </c>
      <c r="W48" s="65">
        <f t="shared" si="35"/>
        <v>1.0188</v>
      </c>
      <c r="X48" s="65">
        <f t="shared" si="35"/>
        <v>1.020323396</v>
      </c>
      <c r="Y48" s="65">
        <f t="shared" si="35"/>
        <v>1.018618727</v>
      </c>
      <c r="Z48" s="65">
        <f t="shared" si="35"/>
        <v>1.015639154</v>
      </c>
      <c r="AA48" s="65">
        <f t="shared" si="35"/>
        <v>1.020422301</v>
      </c>
      <c r="AB48" s="65">
        <f t="shared" si="35"/>
        <v>1.006998686</v>
      </c>
      <c r="AC48" s="65"/>
    </row>
    <row r="49" ht="12.75" customHeight="1">
      <c r="A49" s="71" t="s">
        <v>76</v>
      </c>
      <c r="B49" s="72">
        <v>1.0</v>
      </c>
      <c r="C49" s="72">
        <v>1.0</v>
      </c>
      <c r="D49" s="72">
        <v>1.0</v>
      </c>
      <c r="E49" s="72">
        <v>1.0</v>
      </c>
      <c r="F49" s="72">
        <v>1.0</v>
      </c>
      <c r="G49" s="72">
        <v>1.0</v>
      </c>
      <c r="H49" s="72">
        <v>1.0</v>
      </c>
      <c r="I49" s="72">
        <v>1.0</v>
      </c>
      <c r="J49" s="72">
        <v>1.0</v>
      </c>
      <c r="K49" s="72">
        <v>1.0</v>
      </c>
      <c r="L49" s="72">
        <v>1.0</v>
      </c>
      <c r="M49" s="72">
        <v>1.0</v>
      </c>
      <c r="N49" s="73">
        <v>1.0</v>
      </c>
      <c r="O49" s="65"/>
      <c r="P49" s="71" t="s">
        <v>76</v>
      </c>
      <c r="Q49" s="72">
        <v>1.0</v>
      </c>
      <c r="R49" s="72">
        <v>1.0</v>
      </c>
      <c r="S49" s="72">
        <v>1.0</v>
      </c>
      <c r="T49" s="72">
        <v>1.0</v>
      </c>
      <c r="U49" s="72">
        <v>1.0</v>
      </c>
      <c r="V49" s="72">
        <v>1.0</v>
      </c>
      <c r="W49" s="72">
        <v>1.0</v>
      </c>
      <c r="X49" s="72">
        <v>1.0</v>
      </c>
      <c r="Y49" s="72">
        <v>1.0</v>
      </c>
      <c r="Z49" s="72">
        <v>1.0</v>
      </c>
      <c r="AA49" s="72">
        <v>1.0</v>
      </c>
      <c r="AB49" s="72">
        <v>1.0</v>
      </c>
      <c r="AC49" s="73">
        <v>1.0</v>
      </c>
    </row>
    <row r="50" ht="12.75" customHeight="1">
      <c r="B50" s="65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Q50" s="65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ht="12.75" customHeight="1">
      <c r="A51" s="74" t="s">
        <v>115</v>
      </c>
      <c r="B51" s="65" t="s">
        <v>101</v>
      </c>
      <c r="C51" s="65" t="s">
        <v>101</v>
      </c>
      <c r="D51" s="65" t="s">
        <v>101</v>
      </c>
      <c r="E51" s="65" t="s">
        <v>101</v>
      </c>
      <c r="F51" s="65" t="s">
        <v>101</v>
      </c>
      <c r="G51" s="65" t="s">
        <v>101</v>
      </c>
      <c r="H51" s="65" t="s">
        <v>101</v>
      </c>
      <c r="I51" s="65" t="s">
        <v>101</v>
      </c>
      <c r="J51" s="65" t="s">
        <v>101</v>
      </c>
      <c r="K51" s="65" t="s">
        <v>101</v>
      </c>
      <c r="L51" s="65" t="s">
        <v>101</v>
      </c>
      <c r="M51" s="65" t="s">
        <v>101</v>
      </c>
      <c r="N51" s="65" t="s">
        <v>101</v>
      </c>
      <c r="O51" s="65"/>
      <c r="P51" s="74" t="s">
        <v>115</v>
      </c>
      <c r="Q51" s="65" t="s">
        <v>101</v>
      </c>
      <c r="R51" s="65" t="s">
        <v>101</v>
      </c>
      <c r="S51" s="65" t="s">
        <v>101</v>
      </c>
      <c r="T51" s="65" t="s">
        <v>101</v>
      </c>
      <c r="U51" s="65" t="s">
        <v>101</v>
      </c>
      <c r="V51" s="65" t="s">
        <v>101</v>
      </c>
      <c r="W51" s="65" t="s">
        <v>101</v>
      </c>
      <c r="X51" s="65" t="s">
        <v>101</v>
      </c>
      <c r="Y51" s="65" t="s">
        <v>101</v>
      </c>
      <c r="Z51" s="65" t="s">
        <v>101</v>
      </c>
      <c r="AA51" s="65" t="s">
        <v>101</v>
      </c>
      <c r="AB51" s="65" t="s">
        <v>101</v>
      </c>
      <c r="AC51" s="65" t="s">
        <v>101</v>
      </c>
    </row>
    <row r="52" ht="12.75" customHeight="1">
      <c r="A52" s="69" t="str">
        <f t="shared" ref="A52:A56" si="38">A44</f>
        <v>2 Year</v>
      </c>
      <c r="B52" s="65">
        <f t="shared" ref="B52:M52" si="36">C52*B44</f>
        <v>1.684104636</v>
      </c>
      <c r="C52" s="65">
        <f t="shared" si="36"/>
        <v>1.180999044</v>
      </c>
      <c r="D52" s="65">
        <f t="shared" si="36"/>
        <v>1.029669103</v>
      </c>
      <c r="E52" s="65">
        <f t="shared" si="36"/>
        <v>0.9986351902</v>
      </c>
      <c r="F52" s="65">
        <f t="shared" si="36"/>
        <v>0.9961448281</v>
      </c>
      <c r="G52" s="65">
        <f t="shared" si="36"/>
        <v>0.99764129</v>
      </c>
      <c r="H52" s="65">
        <f t="shared" si="36"/>
        <v>1.00064322</v>
      </c>
      <c r="I52" s="65">
        <f t="shared" si="36"/>
        <v>1.010750727</v>
      </c>
      <c r="J52" s="65">
        <f t="shared" si="36"/>
        <v>1.010274088</v>
      </c>
      <c r="K52" s="65">
        <f t="shared" si="36"/>
        <v>1.00511723</v>
      </c>
      <c r="L52" s="65">
        <f t="shared" si="36"/>
        <v>0.9955038939</v>
      </c>
      <c r="M52" s="65">
        <f t="shared" si="36"/>
        <v>0.9900990099</v>
      </c>
      <c r="N52" s="75">
        <v>1.0</v>
      </c>
      <c r="O52" s="65"/>
      <c r="P52" s="69" t="str">
        <f t="shared" ref="P52:P56" si="40">P44</f>
        <v>2 Year</v>
      </c>
      <c r="Q52" s="65">
        <f t="shared" ref="Q52:AB52" si="37">R52*Q44</f>
        <v>7.360578415</v>
      </c>
      <c r="R52" s="65">
        <f t="shared" si="37"/>
        <v>2.558421416</v>
      </c>
      <c r="S52" s="65">
        <f t="shared" si="37"/>
        <v>1.656837326</v>
      </c>
      <c r="T52" s="65">
        <f t="shared" si="37"/>
        <v>1.340379967</v>
      </c>
      <c r="U52" s="65">
        <f t="shared" si="37"/>
        <v>1.201057319</v>
      </c>
      <c r="V52" s="65">
        <f t="shared" si="37"/>
        <v>1.132538726</v>
      </c>
      <c r="W52" s="65">
        <f t="shared" si="37"/>
        <v>1.101155786</v>
      </c>
      <c r="X52" s="65">
        <f t="shared" si="37"/>
        <v>1.08381475</v>
      </c>
      <c r="Y52" s="65">
        <f t="shared" si="37"/>
        <v>1.071257521</v>
      </c>
      <c r="Z52" s="65">
        <f t="shared" si="37"/>
        <v>1.051669262</v>
      </c>
      <c r="AA52" s="65">
        <f t="shared" si="37"/>
        <v>1.027563916</v>
      </c>
      <c r="AB52" s="65">
        <f t="shared" si="37"/>
        <v>1.006998686</v>
      </c>
      <c r="AC52" s="75">
        <v>1.0</v>
      </c>
    </row>
    <row r="53" ht="12.75" customHeight="1">
      <c r="A53" s="69" t="str">
        <f t="shared" si="38"/>
        <v>3 Year</v>
      </c>
      <c r="B53" s="65">
        <f t="shared" ref="B53:M53" si="39">C53*B45</f>
        <v>1.675973639</v>
      </c>
      <c r="C53" s="65">
        <f t="shared" si="39"/>
        <v>1.161542842</v>
      </c>
      <c r="D53" s="65">
        <f t="shared" si="39"/>
        <v>1.022803329</v>
      </c>
      <c r="E53" s="65">
        <f t="shared" si="39"/>
        <v>0.990719649</v>
      </c>
      <c r="F53" s="65">
        <f t="shared" si="39"/>
        <v>0.9903895192</v>
      </c>
      <c r="G53" s="65">
        <f t="shared" si="39"/>
        <v>0.9937018587</v>
      </c>
      <c r="H53" s="65">
        <f t="shared" si="39"/>
        <v>0.9946965553</v>
      </c>
      <c r="I53" s="65">
        <f t="shared" si="39"/>
        <v>1.000365292</v>
      </c>
      <c r="J53" s="65">
        <f t="shared" si="39"/>
        <v>1.002235282</v>
      </c>
      <c r="K53" s="65">
        <f t="shared" si="39"/>
        <v>0.9956260944</v>
      </c>
      <c r="L53" s="65">
        <f t="shared" si="39"/>
        <v>0.9955038939</v>
      </c>
      <c r="M53" s="65">
        <f t="shared" si="39"/>
        <v>0.9900990099</v>
      </c>
      <c r="N53" s="75">
        <v>1.0</v>
      </c>
      <c r="O53" s="65"/>
      <c r="P53" s="69" t="str">
        <f t="shared" si="40"/>
        <v>3 Year</v>
      </c>
      <c r="Q53" s="65">
        <f t="shared" ref="Q53:AB53" si="41">R53*Q45</f>
        <v>7.704757146</v>
      </c>
      <c r="R53" s="65">
        <f t="shared" si="41"/>
        <v>2.562689166</v>
      </c>
      <c r="S53" s="65">
        <f t="shared" si="41"/>
        <v>1.658942092</v>
      </c>
      <c r="T53" s="65">
        <f t="shared" si="41"/>
        <v>1.344292318</v>
      </c>
      <c r="U53" s="65">
        <f t="shared" si="41"/>
        <v>1.203843866</v>
      </c>
      <c r="V53" s="65">
        <f t="shared" si="41"/>
        <v>1.136416488</v>
      </c>
      <c r="W53" s="65">
        <f t="shared" si="41"/>
        <v>1.100823205</v>
      </c>
      <c r="X53" s="65">
        <f t="shared" si="41"/>
        <v>1.080297551</v>
      </c>
      <c r="Y53" s="65">
        <f t="shared" si="41"/>
        <v>1.061565976</v>
      </c>
      <c r="Z53" s="65">
        <f t="shared" si="41"/>
        <v>1.043634146</v>
      </c>
      <c r="AA53" s="65">
        <f t="shared" si="41"/>
        <v>1.027563916</v>
      </c>
      <c r="AB53" s="65">
        <f t="shared" si="41"/>
        <v>1.006998686</v>
      </c>
      <c r="AC53" s="75">
        <v>1.0</v>
      </c>
    </row>
    <row r="54" ht="12.75" customHeight="1">
      <c r="A54" s="69" t="str">
        <f t="shared" si="38"/>
        <v>4 Year</v>
      </c>
      <c r="B54" s="65">
        <f t="shared" ref="B54:M54" si="42">C54*B46</f>
        <v>1.663924058</v>
      </c>
      <c r="C54" s="65">
        <f t="shared" si="42"/>
        <v>1.16835117</v>
      </c>
      <c r="D54" s="65">
        <f t="shared" si="42"/>
        <v>1.034639765</v>
      </c>
      <c r="E54" s="65">
        <f t="shared" si="42"/>
        <v>1.002035374</v>
      </c>
      <c r="F54" s="65">
        <f t="shared" si="42"/>
        <v>1.000784394</v>
      </c>
      <c r="G54" s="65">
        <f t="shared" si="42"/>
        <v>1.004551462</v>
      </c>
      <c r="H54" s="65">
        <f t="shared" si="42"/>
        <v>1.008585805</v>
      </c>
      <c r="I54" s="65">
        <f t="shared" si="42"/>
        <v>1.013399453</v>
      </c>
      <c r="J54" s="65">
        <f t="shared" si="42"/>
        <v>1.002970359</v>
      </c>
      <c r="K54" s="65">
        <f t="shared" si="42"/>
        <v>0.9956260944</v>
      </c>
      <c r="L54" s="65">
        <f t="shared" si="42"/>
        <v>0.9955038939</v>
      </c>
      <c r="M54" s="65">
        <f t="shared" si="42"/>
        <v>0.9900990099</v>
      </c>
      <c r="N54" s="75">
        <v>1.0</v>
      </c>
      <c r="O54" s="65"/>
      <c r="P54" s="69" t="str">
        <f t="shared" si="40"/>
        <v>4 Year</v>
      </c>
      <c r="Q54" s="65">
        <f t="shared" ref="Q54:AB54" si="43">R54*Q46</f>
        <v>7.566813689</v>
      </c>
      <c r="R54" s="65">
        <f t="shared" si="43"/>
        <v>2.574942175</v>
      </c>
      <c r="S54" s="65">
        <f t="shared" si="43"/>
        <v>1.665465196</v>
      </c>
      <c r="T54" s="65">
        <f t="shared" si="43"/>
        <v>1.349048959</v>
      </c>
      <c r="U54" s="65">
        <f t="shared" si="43"/>
        <v>1.202628892</v>
      </c>
      <c r="V54" s="65">
        <f t="shared" si="43"/>
        <v>1.133486232</v>
      </c>
      <c r="W54" s="65">
        <f t="shared" si="43"/>
        <v>1.098073365</v>
      </c>
      <c r="X54" s="65">
        <f t="shared" si="43"/>
        <v>1.076806438</v>
      </c>
      <c r="Y54" s="65">
        <f t="shared" si="43"/>
        <v>1.063065285</v>
      </c>
      <c r="Z54" s="65">
        <f t="shared" si="43"/>
        <v>1.043634146</v>
      </c>
      <c r="AA54" s="65">
        <f t="shared" si="43"/>
        <v>1.027563916</v>
      </c>
      <c r="AB54" s="65">
        <f t="shared" si="43"/>
        <v>1.006998686</v>
      </c>
      <c r="AC54" s="75">
        <v>1.0</v>
      </c>
    </row>
    <row r="55" ht="12.75" customHeight="1">
      <c r="A55" s="69" t="str">
        <f t="shared" si="38"/>
        <v>5 Year</v>
      </c>
      <c r="B55" s="65">
        <f t="shared" ref="B55:M55" si="44">C55*B47</f>
        <v>1.630451642</v>
      </c>
      <c r="C55" s="65">
        <f t="shared" si="44"/>
        <v>1.162009182</v>
      </c>
      <c r="D55" s="65">
        <f t="shared" si="44"/>
        <v>1.034563576</v>
      </c>
      <c r="E55" s="65">
        <f t="shared" si="44"/>
        <v>1.001484027</v>
      </c>
      <c r="F55" s="65">
        <f t="shared" si="44"/>
        <v>1.000283687</v>
      </c>
      <c r="G55" s="65">
        <f t="shared" si="44"/>
        <v>1.005108206</v>
      </c>
      <c r="H55" s="65">
        <f t="shared" si="44"/>
        <v>1.009955995</v>
      </c>
      <c r="I55" s="65">
        <f t="shared" si="44"/>
        <v>1.015235218</v>
      </c>
      <c r="J55" s="65">
        <f t="shared" si="44"/>
        <v>1.002970359</v>
      </c>
      <c r="K55" s="65">
        <f t="shared" si="44"/>
        <v>0.9956260944</v>
      </c>
      <c r="L55" s="65">
        <f t="shared" si="44"/>
        <v>0.9955038939</v>
      </c>
      <c r="M55" s="65">
        <f t="shared" si="44"/>
        <v>0.9900990099</v>
      </c>
      <c r="N55" s="75">
        <v>1.0</v>
      </c>
      <c r="O55" s="65"/>
      <c r="P55" s="69" t="str">
        <f t="shared" si="40"/>
        <v>5 Year</v>
      </c>
      <c r="Q55" s="65">
        <f t="shared" ref="Q55:AB55" si="45">R55*Q47</f>
        <v>7.391541814</v>
      </c>
      <c r="R55" s="65">
        <f t="shared" si="45"/>
        <v>2.564452868</v>
      </c>
      <c r="S55" s="65">
        <f t="shared" si="45"/>
        <v>1.66689183</v>
      </c>
      <c r="T55" s="65">
        <f t="shared" si="45"/>
        <v>1.355154628</v>
      </c>
      <c r="U55" s="65">
        <f t="shared" si="45"/>
        <v>1.209527515</v>
      </c>
      <c r="V55" s="65">
        <f t="shared" si="45"/>
        <v>1.140203163</v>
      </c>
      <c r="W55" s="65">
        <f t="shared" si="45"/>
        <v>1.105062185</v>
      </c>
      <c r="X55" s="65">
        <f t="shared" si="45"/>
        <v>1.084670382</v>
      </c>
      <c r="Y55" s="65">
        <f t="shared" si="45"/>
        <v>1.063065285</v>
      </c>
      <c r="Z55" s="65">
        <f t="shared" si="45"/>
        <v>1.043634146</v>
      </c>
      <c r="AA55" s="65">
        <f t="shared" si="45"/>
        <v>1.027563916</v>
      </c>
      <c r="AB55" s="65">
        <f t="shared" si="45"/>
        <v>1.006998686</v>
      </c>
      <c r="AC55" s="75">
        <v>1.0</v>
      </c>
    </row>
    <row r="56" ht="12.75" customHeight="1">
      <c r="A56" s="69" t="str">
        <f t="shared" si="38"/>
        <v>All Year</v>
      </c>
      <c r="B56" s="65">
        <f t="shared" ref="B56:M56" si="46">C56*B48</f>
        <v>1.630451642</v>
      </c>
      <c r="C56" s="65">
        <f t="shared" si="46"/>
        <v>1.162009182</v>
      </c>
      <c r="D56" s="65">
        <f t="shared" si="46"/>
        <v>1.034563576</v>
      </c>
      <c r="E56" s="65">
        <f t="shared" si="46"/>
        <v>1.001484027</v>
      </c>
      <c r="F56" s="65">
        <f t="shared" si="46"/>
        <v>1.000283687</v>
      </c>
      <c r="G56" s="65">
        <f t="shared" si="46"/>
        <v>1.005108206</v>
      </c>
      <c r="H56" s="65">
        <f t="shared" si="46"/>
        <v>1.009955995</v>
      </c>
      <c r="I56" s="65">
        <f t="shared" si="46"/>
        <v>1.015235218</v>
      </c>
      <c r="J56" s="65">
        <f t="shared" si="46"/>
        <v>1.002970359</v>
      </c>
      <c r="K56" s="65">
        <f t="shared" si="46"/>
        <v>0.9956260944</v>
      </c>
      <c r="L56" s="65">
        <f t="shared" si="46"/>
        <v>0.9955038939</v>
      </c>
      <c r="M56" s="65">
        <f t="shared" si="46"/>
        <v>0.9900990099</v>
      </c>
      <c r="N56" s="75">
        <v>1.0</v>
      </c>
      <c r="O56" s="65"/>
      <c r="P56" s="69" t="str">
        <f t="shared" si="40"/>
        <v>All Year</v>
      </c>
      <c r="Q56" s="65">
        <f t="shared" ref="Q56:AB56" si="47">R56*Q48</f>
        <v>7.391541814</v>
      </c>
      <c r="R56" s="65">
        <f t="shared" si="47"/>
        <v>2.564452868</v>
      </c>
      <c r="S56" s="65">
        <f t="shared" si="47"/>
        <v>1.66689183</v>
      </c>
      <c r="T56" s="65">
        <f t="shared" si="47"/>
        <v>1.355154628</v>
      </c>
      <c r="U56" s="65">
        <f t="shared" si="47"/>
        <v>1.209527515</v>
      </c>
      <c r="V56" s="65">
        <f t="shared" si="47"/>
        <v>1.140203163</v>
      </c>
      <c r="W56" s="65">
        <f t="shared" si="47"/>
        <v>1.105062185</v>
      </c>
      <c r="X56" s="65">
        <f t="shared" si="47"/>
        <v>1.084670382</v>
      </c>
      <c r="Y56" s="65">
        <f t="shared" si="47"/>
        <v>1.063065285</v>
      </c>
      <c r="Z56" s="65">
        <f t="shared" si="47"/>
        <v>1.043634146</v>
      </c>
      <c r="AA56" s="65">
        <f t="shared" si="47"/>
        <v>1.027563916</v>
      </c>
      <c r="AB56" s="65">
        <f t="shared" si="47"/>
        <v>1.006998686</v>
      </c>
      <c r="AC56" s="75">
        <v>1.0</v>
      </c>
    </row>
    <row r="57" ht="12.75" customHeight="1">
      <c r="A57" s="71" t="s">
        <v>76</v>
      </c>
      <c r="B57" s="72">
        <f t="shared" ref="B57:M57" si="48">B49*C57</f>
        <v>1</v>
      </c>
      <c r="C57" s="72">
        <f t="shared" si="48"/>
        <v>1</v>
      </c>
      <c r="D57" s="72">
        <f t="shared" si="48"/>
        <v>1</v>
      </c>
      <c r="E57" s="72">
        <f t="shared" si="48"/>
        <v>1</v>
      </c>
      <c r="F57" s="72">
        <f t="shared" si="48"/>
        <v>1</v>
      </c>
      <c r="G57" s="72">
        <f t="shared" si="48"/>
        <v>1</v>
      </c>
      <c r="H57" s="72">
        <f t="shared" si="48"/>
        <v>1</v>
      </c>
      <c r="I57" s="72">
        <f t="shared" si="48"/>
        <v>1</v>
      </c>
      <c r="J57" s="72">
        <f t="shared" si="48"/>
        <v>1</v>
      </c>
      <c r="K57" s="72">
        <f t="shared" si="48"/>
        <v>1</v>
      </c>
      <c r="L57" s="72">
        <f t="shared" si="48"/>
        <v>1</v>
      </c>
      <c r="M57" s="72">
        <f t="shared" si="48"/>
        <v>1</v>
      </c>
      <c r="N57" s="73">
        <f>N49</f>
        <v>1</v>
      </c>
      <c r="P57" s="71" t="s">
        <v>76</v>
      </c>
      <c r="Q57" s="72">
        <f t="shared" ref="Q57:AB57" si="49">Q49*R57</f>
        <v>1</v>
      </c>
      <c r="R57" s="72">
        <f t="shared" si="49"/>
        <v>1</v>
      </c>
      <c r="S57" s="72">
        <f t="shared" si="49"/>
        <v>1</v>
      </c>
      <c r="T57" s="72">
        <f t="shared" si="49"/>
        <v>1</v>
      </c>
      <c r="U57" s="72">
        <f t="shared" si="49"/>
        <v>1</v>
      </c>
      <c r="V57" s="72">
        <f t="shared" si="49"/>
        <v>1</v>
      </c>
      <c r="W57" s="72">
        <f t="shared" si="49"/>
        <v>1</v>
      </c>
      <c r="X57" s="72">
        <f t="shared" si="49"/>
        <v>1</v>
      </c>
      <c r="Y57" s="72">
        <f t="shared" si="49"/>
        <v>1</v>
      </c>
      <c r="Z57" s="72">
        <f t="shared" si="49"/>
        <v>1</v>
      </c>
      <c r="AA57" s="72">
        <f t="shared" si="49"/>
        <v>1</v>
      </c>
      <c r="AB57" s="72">
        <f t="shared" si="49"/>
        <v>1</v>
      </c>
      <c r="AC57" s="73">
        <f>AC49</f>
        <v>1</v>
      </c>
    </row>
    <row r="58" ht="12.75" customHeight="1"/>
    <row r="59" ht="12.75" customHeight="1"/>
    <row r="60" ht="12.75" customHeight="1"/>
    <row r="61" ht="12.75" customHeight="1">
      <c r="A61" s="61" t="s">
        <v>101</v>
      </c>
      <c r="B61" s="62" t="s">
        <v>105</v>
      </c>
      <c r="O61" s="62"/>
      <c r="P61" s="61" t="s">
        <v>101</v>
      </c>
      <c r="Q61" s="62" t="s">
        <v>106</v>
      </c>
    </row>
    <row r="62" ht="12.75" customHeight="1">
      <c r="A62" s="30" t="s">
        <v>101</v>
      </c>
      <c r="B62" s="62" t="s">
        <v>107</v>
      </c>
      <c r="O62" s="62"/>
      <c r="P62" s="30" t="s">
        <v>101</v>
      </c>
      <c r="Q62" s="62" t="s">
        <v>107</v>
      </c>
    </row>
    <row r="63" ht="12.75" customHeight="1">
      <c r="B63" s="30">
        <v>12.0</v>
      </c>
      <c r="C63" s="30">
        <v>24.0</v>
      </c>
      <c r="D63" s="30">
        <v>36.0</v>
      </c>
      <c r="E63" s="30">
        <v>48.0</v>
      </c>
      <c r="F63" s="30">
        <v>60.0</v>
      </c>
      <c r="G63" s="30">
        <v>72.0</v>
      </c>
      <c r="H63" s="30">
        <v>84.0</v>
      </c>
      <c r="I63" s="30">
        <v>96.0</v>
      </c>
      <c r="J63" s="30">
        <v>108.0</v>
      </c>
      <c r="K63" s="30">
        <v>120.0</v>
      </c>
      <c r="L63" s="30">
        <v>132.0</v>
      </c>
      <c r="M63" s="30">
        <v>144.0</v>
      </c>
      <c r="N63" s="30">
        <v>156.0</v>
      </c>
      <c r="Q63" s="30">
        <v>12.0</v>
      </c>
      <c r="R63" s="30">
        <v>24.0</v>
      </c>
      <c r="S63" s="30">
        <v>36.0</v>
      </c>
      <c r="T63" s="30">
        <v>48.0</v>
      </c>
      <c r="U63" s="30">
        <v>60.0</v>
      </c>
      <c r="V63" s="30">
        <v>72.0</v>
      </c>
      <c r="W63" s="30">
        <v>84.0</v>
      </c>
      <c r="X63" s="30">
        <v>96.0</v>
      </c>
      <c r="Y63" s="30">
        <v>108.0</v>
      </c>
      <c r="Z63" s="30">
        <v>120.0</v>
      </c>
      <c r="AA63" s="30">
        <v>132.0</v>
      </c>
      <c r="AB63" s="30">
        <v>144.0</v>
      </c>
      <c r="AC63" s="30">
        <v>156.0</v>
      </c>
    </row>
    <row r="64" ht="12.75" customHeight="1">
      <c r="A64" s="30" t="s">
        <v>116</v>
      </c>
      <c r="B64" s="30" t="s">
        <v>108</v>
      </c>
      <c r="C64" s="30" t="s">
        <v>108</v>
      </c>
      <c r="D64" s="30" t="s">
        <v>108</v>
      </c>
      <c r="E64" s="30" t="s">
        <v>108</v>
      </c>
      <c r="F64" s="30" t="s">
        <v>108</v>
      </c>
      <c r="G64" s="30" t="s">
        <v>108</v>
      </c>
      <c r="H64" s="30" t="s">
        <v>108</v>
      </c>
      <c r="I64" s="30" t="s">
        <v>108</v>
      </c>
      <c r="J64" s="30" t="s">
        <v>108</v>
      </c>
      <c r="K64" s="30" t="s">
        <v>108</v>
      </c>
      <c r="L64" s="30" t="s">
        <v>108</v>
      </c>
      <c r="M64" s="30" t="s">
        <v>108</v>
      </c>
      <c r="N64" s="30" t="s">
        <v>108</v>
      </c>
      <c r="P64" s="30" t="s">
        <v>116</v>
      </c>
      <c r="Q64" s="30" t="s">
        <v>108</v>
      </c>
      <c r="R64" s="30" t="s">
        <v>108</v>
      </c>
      <c r="S64" s="30" t="s">
        <v>108</v>
      </c>
      <c r="T64" s="30" t="s">
        <v>108</v>
      </c>
      <c r="U64" s="30" t="s">
        <v>108</v>
      </c>
      <c r="V64" s="30" t="s">
        <v>108</v>
      </c>
      <c r="W64" s="30" t="s">
        <v>108</v>
      </c>
      <c r="X64" s="30" t="s">
        <v>108</v>
      </c>
      <c r="Y64" s="30" t="s">
        <v>108</v>
      </c>
      <c r="Z64" s="30" t="s">
        <v>108</v>
      </c>
      <c r="AA64" s="30" t="s">
        <v>108</v>
      </c>
      <c r="AB64" s="30" t="s">
        <v>108</v>
      </c>
      <c r="AC64" s="30" t="s">
        <v>108</v>
      </c>
    </row>
    <row r="65" ht="12.75" customHeight="1">
      <c r="A65" s="63" t="s">
        <v>84</v>
      </c>
      <c r="B65" s="67">
        <v>24.0</v>
      </c>
      <c r="C65" s="67">
        <v>36.0</v>
      </c>
      <c r="D65" s="67">
        <v>48.0</v>
      </c>
      <c r="E65" s="67">
        <v>60.0</v>
      </c>
      <c r="F65" s="67">
        <v>72.0</v>
      </c>
      <c r="G65" s="67">
        <v>84.0</v>
      </c>
      <c r="H65" s="67">
        <v>96.0</v>
      </c>
      <c r="I65" s="67">
        <v>108.0</v>
      </c>
      <c r="J65" s="67">
        <v>120.0</v>
      </c>
      <c r="K65" s="67">
        <v>132.0</v>
      </c>
      <c r="L65" s="67">
        <v>144.0</v>
      </c>
      <c r="M65" s="67">
        <v>156.0</v>
      </c>
      <c r="N65" s="67" t="s">
        <v>77</v>
      </c>
      <c r="P65" s="63" t="s">
        <v>84</v>
      </c>
      <c r="Q65" s="67">
        <v>24.0</v>
      </c>
      <c r="R65" s="67">
        <v>36.0</v>
      </c>
      <c r="S65" s="67">
        <v>48.0</v>
      </c>
      <c r="T65" s="67">
        <v>60.0</v>
      </c>
      <c r="U65" s="67">
        <v>72.0</v>
      </c>
      <c r="V65" s="67">
        <v>84.0</v>
      </c>
      <c r="W65" s="67">
        <v>96.0</v>
      </c>
      <c r="X65" s="67">
        <v>108.0</v>
      </c>
      <c r="Y65" s="67">
        <v>120.0</v>
      </c>
      <c r="Z65" s="67">
        <v>132.0</v>
      </c>
      <c r="AA65" s="67">
        <v>144.0</v>
      </c>
      <c r="AB65" s="67">
        <v>156.0</v>
      </c>
      <c r="AC65" s="67" t="s">
        <v>77</v>
      </c>
    </row>
    <row r="66" ht="12.75" customHeight="1">
      <c r="A66" s="63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P66" s="63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</row>
    <row r="67" ht="12.75" customHeight="1">
      <c r="A67" s="30">
        <f t="shared" ref="A67:A71" si="52">A15</f>
        <v>2010</v>
      </c>
      <c r="B67" s="76">
        <f t="shared" ref="B67:I67" si="50">OFFSET(B37,($B$63-B$63)/12,0)</f>
        <v>1.319</v>
      </c>
      <c r="C67" s="76">
        <f t="shared" si="50"/>
        <v>1.099</v>
      </c>
      <c r="D67" s="76">
        <f t="shared" si="50"/>
        <v>1.035</v>
      </c>
      <c r="E67" s="76">
        <f t="shared" si="50"/>
        <v>1.001</v>
      </c>
      <c r="F67" s="76">
        <f t="shared" si="50"/>
        <v>0.991</v>
      </c>
      <c r="G67" s="76">
        <f t="shared" si="50"/>
        <v>0.992</v>
      </c>
      <c r="H67" s="76">
        <f t="shared" si="50"/>
        <v>0.993</v>
      </c>
      <c r="I67" s="76">
        <f t="shared" si="50"/>
        <v>1.019549852</v>
      </c>
      <c r="J67" s="76"/>
      <c r="K67" s="76"/>
      <c r="L67" s="76"/>
      <c r="M67" s="76"/>
      <c r="P67" s="30">
        <f t="shared" ref="P67:P71" si="54">P15</f>
        <v>2010</v>
      </c>
      <c r="Q67" s="76">
        <f t="shared" ref="Q67:X67" si="51">OFFSET(Q37,($B$63-Q$63)/12,0)</f>
        <v>2.657</v>
      </c>
      <c r="R67" s="76">
        <f t="shared" si="51"/>
        <v>1.508</v>
      </c>
      <c r="S67" s="76">
        <f t="shared" si="51"/>
        <v>1.212</v>
      </c>
      <c r="T67" s="76">
        <f t="shared" si="51"/>
        <v>1.115</v>
      </c>
      <c r="U67" s="76">
        <f t="shared" si="51"/>
        <v>1.06</v>
      </c>
      <c r="V67" s="76">
        <f t="shared" si="51"/>
        <v>1.03</v>
      </c>
      <c r="W67" s="76">
        <f t="shared" si="51"/>
        <v>1.015</v>
      </c>
      <c r="X67" s="76">
        <f t="shared" si="51"/>
        <v>1.025476383</v>
      </c>
      <c r="Y67" s="76"/>
      <c r="Z67" s="76"/>
      <c r="AA67" s="76"/>
      <c r="AB67" s="76"/>
    </row>
    <row r="68" ht="12.75" customHeight="1">
      <c r="A68" s="30">
        <f t="shared" si="52"/>
        <v>2011</v>
      </c>
      <c r="B68" s="76">
        <f t="shared" ref="B68:J68" si="53">OFFSET(B38,($B$63-B$63)/12,0)</f>
        <v>1.368</v>
      </c>
      <c r="C68" s="76">
        <f t="shared" si="53"/>
        <v>1.11</v>
      </c>
      <c r="D68" s="76">
        <f t="shared" si="53"/>
        <v>1.033</v>
      </c>
      <c r="E68" s="76">
        <f t="shared" si="53"/>
        <v>1.004</v>
      </c>
      <c r="F68" s="76">
        <f t="shared" si="53"/>
        <v>0.995</v>
      </c>
      <c r="G68" s="76">
        <f t="shared" si="53"/>
        <v>0.987</v>
      </c>
      <c r="H68" s="76">
        <f t="shared" si="53"/>
        <v>0.998</v>
      </c>
      <c r="I68" s="76">
        <f t="shared" si="53"/>
        <v>1.047190288</v>
      </c>
      <c r="J68" s="76">
        <f t="shared" si="53"/>
        <v>1.009591446</v>
      </c>
      <c r="K68" s="76"/>
      <c r="L68" s="76"/>
      <c r="M68" s="76"/>
      <c r="P68" s="30">
        <f t="shared" si="54"/>
        <v>2011</v>
      </c>
      <c r="Q68" s="76">
        <f t="shared" ref="Q68:Y68" si="55">OFFSET(Q38,($B$63-Q$63)/12,0)</f>
        <v>2.735</v>
      </c>
      <c r="R68" s="76">
        <f t="shared" si="55"/>
        <v>1.55</v>
      </c>
      <c r="S68" s="76">
        <f t="shared" si="55"/>
        <v>1.236</v>
      </c>
      <c r="T68" s="76">
        <f t="shared" si="55"/>
        <v>1.137</v>
      </c>
      <c r="U68" s="76">
        <f t="shared" si="55"/>
        <v>1.066</v>
      </c>
      <c r="V68" s="76">
        <f t="shared" si="55"/>
        <v>1.032</v>
      </c>
      <c r="W68" s="76">
        <f t="shared" si="55"/>
        <v>1.022</v>
      </c>
      <c r="X68" s="76">
        <f t="shared" si="55"/>
        <v>1.03736268</v>
      </c>
      <c r="Y68" s="76">
        <f t="shared" si="55"/>
        <v>1.022928595</v>
      </c>
      <c r="Z68" s="76"/>
      <c r="AA68" s="76"/>
      <c r="AB68" s="76"/>
    </row>
    <row r="69" ht="12.75" customHeight="1">
      <c r="A69" s="30">
        <f t="shared" si="52"/>
        <v>2012</v>
      </c>
      <c r="B69" s="76">
        <f t="shared" ref="B69:K69" si="56">OFFSET(B39,($B$63-B$63)/12,0)</f>
        <v>1.476657311</v>
      </c>
      <c r="C69" s="76">
        <f t="shared" si="56"/>
        <v>1.113</v>
      </c>
      <c r="D69" s="76">
        <f t="shared" si="56"/>
        <v>1.035</v>
      </c>
      <c r="E69" s="76">
        <f t="shared" si="56"/>
        <v>0.996</v>
      </c>
      <c r="F69" s="76">
        <f t="shared" si="56"/>
        <v>0.993</v>
      </c>
      <c r="G69" s="76">
        <f t="shared" si="56"/>
        <v>1.003</v>
      </c>
      <c r="H69" s="76">
        <f t="shared" si="56"/>
        <v>1.003</v>
      </c>
      <c r="I69" s="76">
        <f t="shared" si="56"/>
        <v>0.9934589574</v>
      </c>
      <c r="J69" s="76">
        <f t="shared" si="56"/>
        <v>1.009653461</v>
      </c>
      <c r="K69" s="76">
        <f t="shared" si="56"/>
        <v>0.9810547499</v>
      </c>
      <c r="L69" s="76"/>
      <c r="M69" s="76"/>
      <c r="P69" s="30">
        <f t="shared" si="54"/>
        <v>2012</v>
      </c>
      <c r="Q69" s="76">
        <f t="shared" ref="Q69:Z69" si="57">OFFSET(Q39,($B$63-Q$63)/12,0)</f>
        <v>3.265537657</v>
      </c>
      <c r="R69" s="76">
        <f t="shared" si="57"/>
        <v>1.546</v>
      </c>
      <c r="S69" s="76">
        <f t="shared" si="57"/>
        <v>1.23</v>
      </c>
      <c r="T69" s="76">
        <f t="shared" si="57"/>
        <v>1.118</v>
      </c>
      <c r="U69" s="76">
        <f t="shared" si="57"/>
        <v>1.057</v>
      </c>
      <c r="V69" s="76">
        <f t="shared" si="57"/>
        <v>1.04</v>
      </c>
      <c r="W69" s="76">
        <f t="shared" si="57"/>
        <v>1.025</v>
      </c>
      <c r="X69" s="76">
        <f t="shared" si="57"/>
        <v>1.003487461</v>
      </c>
      <c r="Y69" s="76">
        <f t="shared" si="57"/>
        <v>1.014294562</v>
      </c>
      <c r="Z69" s="76">
        <f t="shared" si="57"/>
        <v>1</v>
      </c>
      <c r="AA69" s="76"/>
      <c r="AB69" s="76"/>
    </row>
    <row r="70" ht="12.75" customHeight="1">
      <c r="A70" s="30">
        <f t="shared" si="52"/>
        <v>2013</v>
      </c>
      <c r="B70" s="76">
        <f t="shared" ref="B70:L70" si="58">OFFSET(B40,($B$63-B$63)/12,0)</f>
        <v>1.345</v>
      </c>
      <c r="C70" s="76">
        <f t="shared" si="58"/>
        <v>1.144938975</v>
      </c>
      <c r="D70" s="76">
        <f t="shared" si="58"/>
        <v>1.028</v>
      </c>
      <c r="E70" s="76">
        <f t="shared" si="58"/>
        <v>0.996</v>
      </c>
      <c r="F70" s="76">
        <f t="shared" si="58"/>
        <v>0.995</v>
      </c>
      <c r="G70" s="76">
        <f t="shared" si="58"/>
        <v>0.998</v>
      </c>
      <c r="H70" s="76">
        <f t="shared" si="58"/>
        <v>0.99</v>
      </c>
      <c r="I70" s="76">
        <f t="shared" si="58"/>
        <v>1.006458792</v>
      </c>
      <c r="J70" s="76">
        <f t="shared" si="58"/>
        <v>1.020307383</v>
      </c>
      <c r="K70" s="76">
        <f t="shared" si="58"/>
        <v>1.025205298</v>
      </c>
      <c r="L70" s="76">
        <f t="shared" si="58"/>
        <v>1.019173645</v>
      </c>
      <c r="M70" s="76"/>
      <c r="P70" s="30">
        <f t="shared" si="54"/>
        <v>2013</v>
      </c>
      <c r="Q70" s="76">
        <f t="shared" ref="Q70:AA70" si="59">OFFSET(Q40,($B$63-Q$63)/12,0)</f>
        <v>2.885</v>
      </c>
      <c r="R70" s="76">
        <f t="shared" si="59"/>
        <v>1.554319386</v>
      </c>
      <c r="S70" s="76">
        <f t="shared" si="59"/>
        <v>1.236</v>
      </c>
      <c r="T70" s="76">
        <f t="shared" si="59"/>
        <v>1.117</v>
      </c>
      <c r="U70" s="76">
        <f t="shared" si="59"/>
        <v>1.061</v>
      </c>
      <c r="V70" s="76">
        <f t="shared" si="59"/>
        <v>1.03</v>
      </c>
      <c r="W70" s="76">
        <f t="shared" si="59"/>
        <v>1.017</v>
      </c>
      <c r="X70" s="76">
        <f t="shared" si="59"/>
        <v>1.023568506</v>
      </c>
      <c r="Y70" s="76">
        <f t="shared" si="59"/>
        <v>1.026335452</v>
      </c>
      <c r="Z70" s="76">
        <f t="shared" si="59"/>
        <v>1.035396822</v>
      </c>
      <c r="AA70" s="76">
        <f t="shared" si="59"/>
        <v>1.021460457</v>
      </c>
      <c r="AB70" s="76"/>
    </row>
    <row r="71" ht="12.75" customHeight="1">
      <c r="A71" s="30">
        <f t="shared" si="52"/>
        <v>2014</v>
      </c>
      <c r="B71" s="76">
        <f t="shared" ref="B71:M71" si="60">OFFSET(B41,($B$63-B$63)/12,0)</f>
        <v>1.507</v>
      </c>
      <c r="C71" s="76">
        <f t="shared" si="60"/>
        <v>1.149</v>
      </c>
      <c r="D71" s="76">
        <f t="shared" si="60"/>
        <v>1.034152652</v>
      </c>
      <c r="E71" s="76">
        <f t="shared" si="60"/>
        <v>1.009</v>
      </c>
      <c r="F71" s="76">
        <f t="shared" si="60"/>
        <v>1.002</v>
      </c>
      <c r="G71" s="76">
        <f t="shared" si="60"/>
        <v>0.996</v>
      </c>
      <c r="H71" s="76">
        <f t="shared" si="60"/>
        <v>0.99</v>
      </c>
      <c r="I71" s="76">
        <f t="shared" si="60"/>
        <v>0.9944847912</v>
      </c>
      <c r="J71" s="76">
        <f t="shared" si="60"/>
        <v>0.9899538246</v>
      </c>
      <c r="K71" s="76">
        <f t="shared" si="60"/>
        <v>0.9941082094</v>
      </c>
      <c r="L71" s="76">
        <f t="shared" si="60"/>
        <v>0.9917442204</v>
      </c>
      <c r="M71" s="76">
        <f t="shared" si="60"/>
        <v>0.9900990099</v>
      </c>
      <c r="P71" s="30">
        <f t="shared" si="54"/>
        <v>2014</v>
      </c>
      <c r="Q71" s="76">
        <f t="shared" ref="Q71:AB71" si="61">OFFSET(Q41,($B$63-Q$63)/12,0)</f>
        <v>2.869</v>
      </c>
      <c r="R71" s="76">
        <f t="shared" si="61"/>
        <v>1.534</v>
      </c>
      <c r="S71" s="76">
        <f t="shared" si="61"/>
        <v>1.236190522</v>
      </c>
      <c r="T71" s="76">
        <f t="shared" si="61"/>
        <v>1.115</v>
      </c>
      <c r="U71" s="76">
        <f t="shared" si="61"/>
        <v>1.06</v>
      </c>
      <c r="V71" s="76">
        <f t="shared" si="61"/>
        <v>1.027</v>
      </c>
      <c r="W71" s="76">
        <f t="shared" si="61"/>
        <v>1.015</v>
      </c>
      <c r="X71" s="76">
        <f t="shared" si="61"/>
        <v>1.011721951</v>
      </c>
      <c r="Y71" s="76">
        <f t="shared" si="61"/>
        <v>1.010916296</v>
      </c>
      <c r="Z71" s="76">
        <f t="shared" si="61"/>
        <v>1.01152064</v>
      </c>
      <c r="AA71" s="76">
        <f t="shared" si="61"/>
        <v>1.019384144</v>
      </c>
      <c r="AB71" s="76">
        <f t="shared" si="61"/>
        <v>1.006998686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B25:N25"/>
    <mergeCell ref="B61:N61"/>
    <mergeCell ref="Q61:AC61"/>
    <mergeCell ref="B62:N62"/>
    <mergeCell ref="Q62:AC62"/>
    <mergeCell ref="B2:N2"/>
    <mergeCell ref="Q2:AC2"/>
    <mergeCell ref="B3:N3"/>
    <mergeCell ref="Q3:AC3"/>
    <mergeCell ref="B24:N24"/>
    <mergeCell ref="Q24:AC24"/>
    <mergeCell ref="Q25:AC25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13" width="8.63"/>
    <col customWidth="1" min="14" max="15" width="9.5"/>
    <col customWidth="1" min="16" max="16" width="12.38"/>
    <col customWidth="1" min="17" max="29" width="9.5"/>
    <col customWidth="1" min="30" max="36" width="8.63"/>
  </cols>
  <sheetData>
    <row r="1" ht="12.75" customHeight="1"/>
    <row r="2" ht="12.75" customHeight="1">
      <c r="A2" s="61" t="s">
        <v>101</v>
      </c>
      <c r="B2" s="62" t="s">
        <v>102</v>
      </c>
      <c r="O2" s="62"/>
      <c r="P2" s="61" t="s">
        <v>101</v>
      </c>
      <c r="Q2" s="62" t="s">
        <v>103</v>
      </c>
    </row>
    <row r="3" ht="12.75" customHeight="1">
      <c r="A3" s="30" t="s">
        <v>101</v>
      </c>
      <c r="B3" s="62" t="s">
        <v>117</v>
      </c>
      <c r="O3" s="62"/>
      <c r="P3" s="30" t="s">
        <v>101</v>
      </c>
      <c r="Q3" s="62" t="s">
        <v>117</v>
      </c>
    </row>
    <row r="4" ht="12.75" customHeight="1">
      <c r="A4" s="30"/>
      <c r="P4" s="30"/>
    </row>
    <row r="5" ht="12.75" customHeight="1">
      <c r="A5" s="30" t="s">
        <v>74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 t="s">
        <v>74</v>
      </c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ht="12.75" customHeight="1">
      <c r="A6" s="63" t="s">
        <v>84</v>
      </c>
      <c r="B6" s="30">
        <v>12.0</v>
      </c>
      <c r="C6" s="30">
        <v>24.0</v>
      </c>
      <c r="D6" s="30">
        <v>36.0</v>
      </c>
      <c r="E6" s="30">
        <v>48.0</v>
      </c>
      <c r="F6" s="30">
        <v>60.0</v>
      </c>
      <c r="G6" s="30">
        <v>72.0</v>
      </c>
      <c r="H6" s="30">
        <v>84.0</v>
      </c>
      <c r="I6" s="30">
        <v>96.0</v>
      </c>
      <c r="J6" s="30">
        <v>108.0</v>
      </c>
      <c r="K6" s="30">
        <v>120.0</v>
      </c>
      <c r="L6" s="30">
        <v>132.0</v>
      </c>
      <c r="M6" s="30">
        <v>144.0</v>
      </c>
      <c r="N6" s="30">
        <v>156.0</v>
      </c>
      <c r="O6" s="30"/>
      <c r="P6" s="63" t="s">
        <v>84</v>
      </c>
      <c r="Q6" s="30">
        <v>12.0</v>
      </c>
      <c r="R6" s="30">
        <v>24.0</v>
      </c>
      <c r="S6" s="30">
        <v>36.0</v>
      </c>
      <c r="T6" s="30">
        <v>48.0</v>
      </c>
      <c r="U6" s="30">
        <v>60.0</v>
      </c>
      <c r="V6" s="30">
        <v>72.0</v>
      </c>
      <c r="W6" s="30">
        <v>84.0</v>
      </c>
      <c r="X6" s="30">
        <v>96.0</v>
      </c>
      <c r="Y6" s="30">
        <v>108.0</v>
      </c>
      <c r="Z6" s="30">
        <v>120.0</v>
      </c>
      <c r="AA6" s="30">
        <v>132.0</v>
      </c>
      <c r="AB6" s="30">
        <v>144.0</v>
      </c>
      <c r="AC6" s="30">
        <v>156.0</v>
      </c>
    </row>
    <row r="7" ht="12.75" customHeight="1">
      <c r="A7" s="63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3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</row>
    <row r="8" ht="12.75" customHeight="1">
      <c r="A8" s="30">
        <v>2003.0</v>
      </c>
      <c r="B8" s="65"/>
      <c r="C8" s="66"/>
      <c r="D8" s="66"/>
      <c r="E8" s="66"/>
      <c r="F8" s="66"/>
      <c r="G8" s="66"/>
      <c r="H8" s="66"/>
      <c r="I8" s="66">
        <v>68261.87135036496</v>
      </c>
      <c r="J8" s="66">
        <v>72177.99948975378</v>
      </c>
      <c r="K8" s="66">
        <v>74888.32932789334</v>
      </c>
      <c r="L8" s="66">
        <v>74074.1162054586</v>
      </c>
      <c r="M8" s="66">
        <v>75563.16111000002</v>
      </c>
      <c r="N8" s="66">
        <v>74815.011</v>
      </c>
      <c r="O8" s="66"/>
      <c r="P8" s="30">
        <v>2003.0</v>
      </c>
      <c r="Q8" s="65"/>
      <c r="R8" s="66"/>
      <c r="S8" s="66"/>
      <c r="T8" s="66"/>
      <c r="U8" s="66"/>
      <c r="V8" s="66"/>
      <c r="W8" s="66"/>
      <c r="X8" s="66">
        <v>64887.26019080657</v>
      </c>
      <c r="Y8" s="66">
        <v>67428.9927207765</v>
      </c>
      <c r="Z8" s="66">
        <v>69896.19975535148</v>
      </c>
      <c r="AA8" s="66">
        <v>70623.5123211768</v>
      </c>
      <c r="AB8" s="66">
        <v>72993.88163221626</v>
      </c>
      <c r="AC8" s="66">
        <v>74815.011</v>
      </c>
    </row>
    <row r="9" ht="12.75" customHeight="1">
      <c r="A9" s="30">
        <v>2004.0</v>
      </c>
      <c r="B9" s="66"/>
      <c r="C9" s="66"/>
      <c r="D9" s="66"/>
      <c r="E9" s="66"/>
      <c r="F9" s="66"/>
      <c r="G9" s="66"/>
      <c r="H9" s="66">
        <v>73662.52712492971</v>
      </c>
      <c r="I9" s="66">
        <v>73957.17723342942</v>
      </c>
      <c r="J9" s="66">
        <v>76212.65045137385</v>
      </c>
      <c r="K9" s="66">
        <v>76026.54475939235</v>
      </c>
      <c r="L9" s="66">
        <v>77661.51346557062</v>
      </c>
      <c r="M9" s="66">
        <v>76989.42150000001</v>
      </c>
      <c r="N9" s="66"/>
      <c r="O9" s="66"/>
      <c r="P9" s="30">
        <v>2004.0</v>
      </c>
      <c r="Q9" s="66"/>
      <c r="R9" s="66"/>
      <c r="S9" s="66"/>
      <c r="T9" s="66"/>
      <c r="U9" s="66"/>
      <c r="V9" s="66"/>
      <c r="W9" s="66">
        <v>69515.80240292657</v>
      </c>
      <c r="X9" s="66">
        <v>69724.34981013533</v>
      </c>
      <c r="Y9" s="66">
        <v>71553.60813307378</v>
      </c>
      <c r="Z9" s="66">
        <v>71797.956015853</v>
      </c>
      <c r="AA9" s="66">
        <v>73621.33852410907</v>
      </c>
      <c r="AB9" s="66">
        <v>74371.64667744543</v>
      </c>
      <c r="AC9" s="66"/>
    </row>
    <row r="10" ht="12.75" customHeight="1">
      <c r="A10" s="30">
        <v>2005.0</v>
      </c>
      <c r="B10" s="66"/>
      <c r="C10" s="66"/>
      <c r="D10" s="66"/>
      <c r="E10" s="66"/>
      <c r="F10" s="66"/>
      <c r="G10" s="66">
        <v>72588.76122844135</v>
      </c>
      <c r="H10" s="66">
        <v>71790.2848549285</v>
      </c>
      <c r="I10" s="66">
        <v>71359.54314579893</v>
      </c>
      <c r="J10" s="66">
        <v>74329.47511453538</v>
      </c>
      <c r="K10" s="66">
        <v>78579.88730980652</v>
      </c>
      <c r="L10" s="66">
        <v>78953.40307008666</v>
      </c>
      <c r="M10" s="66"/>
      <c r="N10" s="66"/>
      <c r="O10" s="66"/>
      <c r="P10" s="30">
        <v>2005.0</v>
      </c>
      <c r="Q10" s="66"/>
      <c r="R10" s="66"/>
      <c r="S10" s="66"/>
      <c r="T10" s="66"/>
      <c r="U10" s="66"/>
      <c r="V10" s="66">
        <v>68243.93698158425</v>
      </c>
      <c r="W10" s="66">
        <v>68585.15666649217</v>
      </c>
      <c r="X10" s="66">
        <v>68928.08244982462</v>
      </c>
      <c r="Y10" s="66">
        <v>70234.06225415914</v>
      </c>
      <c r="Z10" s="66">
        <v>73194.21547351872</v>
      </c>
      <c r="AA10" s="66">
        <v>75063.21930074343</v>
      </c>
      <c r="AB10" s="66"/>
      <c r="AC10" s="66"/>
    </row>
    <row r="11" ht="12.75" customHeight="1">
      <c r="A11" s="30">
        <v>2006.0</v>
      </c>
      <c r="B11" s="66"/>
      <c r="C11" s="66"/>
      <c r="D11" s="66"/>
      <c r="E11" s="66"/>
      <c r="F11" s="66">
        <v>76631.24787460188</v>
      </c>
      <c r="G11" s="66">
        <v>76171.46038735427</v>
      </c>
      <c r="H11" s="66">
        <v>75028.88848154395</v>
      </c>
      <c r="I11" s="66">
        <v>75854.20625484093</v>
      </c>
      <c r="J11" s="66">
        <v>78129.97973206821</v>
      </c>
      <c r="K11" s="66">
        <v>78698.08843680649</v>
      </c>
      <c r="L11" s="66"/>
      <c r="M11" s="66"/>
      <c r="N11" s="66"/>
      <c r="O11" s="66"/>
      <c r="P11" s="30">
        <v>2006.0</v>
      </c>
      <c r="Q11" s="66"/>
      <c r="R11" s="66"/>
      <c r="S11" s="66"/>
      <c r="T11" s="66"/>
      <c r="U11" s="66">
        <v>69548.41414686039</v>
      </c>
      <c r="V11" s="66">
        <v>70661.18877321016</v>
      </c>
      <c r="W11" s="66">
        <v>71085.15590584942</v>
      </c>
      <c r="X11" s="66">
        <v>71653.83715309622</v>
      </c>
      <c r="Y11" s="66">
        <v>73177.20601206827</v>
      </c>
      <c r="Z11" s="66">
        <v>73809.19651453866</v>
      </c>
      <c r="AA11" s="66"/>
      <c r="AB11" s="66"/>
      <c r="AC11" s="66"/>
    </row>
    <row r="12" ht="12.75" customHeight="1">
      <c r="A12" s="30">
        <v>2007.0</v>
      </c>
      <c r="B12" s="66"/>
      <c r="C12" s="66"/>
      <c r="D12" s="66"/>
      <c r="E12" s="66">
        <v>80418.09813552181</v>
      </c>
      <c r="F12" s="66">
        <v>79292.2447616245</v>
      </c>
      <c r="G12" s="66">
        <v>78420.03006924664</v>
      </c>
      <c r="H12" s="66">
        <v>77086.88955806945</v>
      </c>
      <c r="I12" s="66">
        <v>76855.62888939524</v>
      </c>
      <c r="J12" s="66">
        <v>78151.25381919292</v>
      </c>
      <c r="K12" s="66"/>
      <c r="L12" s="66"/>
      <c r="M12" s="66"/>
      <c r="N12" s="66"/>
      <c r="O12" s="66"/>
      <c r="P12" s="30">
        <v>2007.0</v>
      </c>
      <c r="Q12" s="66"/>
      <c r="R12" s="66"/>
      <c r="S12" s="66"/>
      <c r="T12" s="66">
        <v>69856.70384206004</v>
      </c>
      <c r="U12" s="66">
        <v>71393.55132658537</v>
      </c>
      <c r="V12" s="66">
        <v>72036.09328852463</v>
      </c>
      <c r="W12" s="66">
        <v>72252.2015683902</v>
      </c>
      <c r="X12" s="66">
        <v>72468.95817309537</v>
      </c>
      <c r="Y12" s="66">
        <v>73620.28087385825</v>
      </c>
      <c r="Z12" s="66"/>
      <c r="AA12" s="66"/>
      <c r="AB12" s="66"/>
      <c r="AC12" s="66"/>
    </row>
    <row r="13" ht="12.75" customHeight="1">
      <c r="A13" s="30">
        <v>2008.0</v>
      </c>
      <c r="B13" s="66"/>
      <c r="C13" s="66"/>
      <c r="D13" s="66">
        <v>79507.55241649896</v>
      </c>
      <c r="E13" s="66">
        <v>79030.50710199997</v>
      </c>
      <c r="F13" s="66">
        <v>77766.01898836797</v>
      </c>
      <c r="G13" s="66">
        <v>76988.35879848429</v>
      </c>
      <c r="H13" s="66">
        <v>75987.510134104</v>
      </c>
      <c r="I13" s="66">
        <v>75759.54760370169</v>
      </c>
      <c r="J13" s="66"/>
      <c r="K13" s="66"/>
      <c r="L13" s="66"/>
      <c r="M13" s="66"/>
      <c r="N13" s="66"/>
      <c r="P13" s="30">
        <v>2008.0</v>
      </c>
      <c r="Q13" s="66"/>
      <c r="R13" s="66"/>
      <c r="S13" s="66">
        <v>65954.2085993009</v>
      </c>
      <c r="T13" s="66">
        <v>69185.96482066663</v>
      </c>
      <c r="U13" s="66">
        <v>70638.87008190062</v>
      </c>
      <c r="V13" s="66">
        <v>71203.98104255582</v>
      </c>
      <c r="W13" s="66">
        <v>71631.20492881116</v>
      </c>
      <c r="X13" s="66">
        <v>71917.7297485264</v>
      </c>
      <c r="Y13" s="66"/>
      <c r="Z13" s="66"/>
      <c r="AA13" s="66"/>
      <c r="AB13" s="66"/>
      <c r="AC13" s="66"/>
    </row>
    <row r="14" ht="12.75" customHeight="1">
      <c r="A14" s="30">
        <v>2009.0</v>
      </c>
      <c r="B14" s="66"/>
      <c r="C14" s="66">
        <v>82756.2745049343</v>
      </c>
      <c r="D14" s="66">
        <v>82839.03077943923</v>
      </c>
      <c r="E14" s="66">
        <v>83087.54787177754</v>
      </c>
      <c r="F14" s="66">
        <v>81758.14710582909</v>
      </c>
      <c r="G14" s="66">
        <v>81104.08192898246</v>
      </c>
      <c r="H14" s="66">
        <v>79968.6247819767</v>
      </c>
      <c r="I14" s="66"/>
      <c r="J14" s="66"/>
      <c r="K14" s="66"/>
      <c r="L14" s="66"/>
      <c r="M14" s="66"/>
      <c r="P14" s="30">
        <v>2009.0</v>
      </c>
      <c r="Q14" s="66"/>
      <c r="R14" s="66">
        <v>63478.03773577178</v>
      </c>
      <c r="S14" s="66">
        <v>70968.44618859286</v>
      </c>
      <c r="T14" s="66">
        <v>73736.21558994798</v>
      </c>
      <c r="U14" s="66">
        <v>74915.99503938715</v>
      </c>
      <c r="V14" s="66">
        <v>75365.49100962348</v>
      </c>
      <c r="W14" s="66">
        <v>75516.22199164273</v>
      </c>
      <c r="X14" s="66"/>
      <c r="Y14" s="66"/>
      <c r="Z14" s="66"/>
      <c r="AA14" s="66"/>
      <c r="AB14" s="66"/>
    </row>
    <row r="15" ht="12.75" customHeight="1">
      <c r="A15" s="30">
        <v>2010.0</v>
      </c>
      <c r="B15" s="66">
        <v>66169.73190628359</v>
      </c>
      <c r="C15" s="66">
        <v>81984.29783188537</v>
      </c>
      <c r="D15" s="66">
        <v>83541.99949069119</v>
      </c>
      <c r="E15" s="66">
        <v>82706.57949578427</v>
      </c>
      <c r="F15" s="66">
        <v>80638.91500838967</v>
      </c>
      <c r="G15" s="66">
        <v>79772.0327019127</v>
      </c>
      <c r="P15" s="30">
        <v>2010.0</v>
      </c>
      <c r="Q15" s="66">
        <v>32446.91468521135</v>
      </c>
      <c r="R15" s="66">
        <v>62070.94779280932</v>
      </c>
      <c r="S15" s="66">
        <v>69395.31963236083</v>
      </c>
      <c r="T15" s="66">
        <v>72240.52773728762</v>
      </c>
      <c r="U15" s="66">
        <v>73324.13565334692</v>
      </c>
      <c r="V15" s="66">
        <v>73984.05287422704</v>
      </c>
    </row>
    <row r="16" ht="12.75" customHeight="1">
      <c r="A16" s="30">
        <v>2011.0</v>
      </c>
      <c r="B16" s="66">
        <v>67818.65194613193</v>
      </c>
      <c r="C16" s="66">
        <v>85654.95740796461</v>
      </c>
      <c r="D16" s="66">
        <v>86083.23219500443</v>
      </c>
      <c r="E16" s="66">
        <v>83845.0681579343</v>
      </c>
      <c r="F16" s="66">
        <v>83509.68788530257</v>
      </c>
      <c r="N16" s="65"/>
      <c r="O16" s="65"/>
      <c r="P16" s="30">
        <v>2011.0</v>
      </c>
      <c r="Q16" s="66">
        <v>33008.85179284159</v>
      </c>
      <c r="R16" s="66">
        <v>64598.322958590994</v>
      </c>
      <c r="S16" s="66">
        <v>71962.53177587037</v>
      </c>
      <c r="T16" s="66">
        <v>74625.14545157757</v>
      </c>
      <c r="U16" s="66">
        <v>75968.39806970596</v>
      </c>
      <c r="AC16" s="65"/>
    </row>
    <row r="17" ht="12.75" customHeight="1">
      <c r="A17" s="30">
        <v>2012.0</v>
      </c>
      <c r="B17" s="66">
        <v>70617.10593479616</v>
      </c>
      <c r="C17" s="66">
        <v>96200.76531256041</v>
      </c>
      <c r="D17" s="66">
        <v>101671.56072068505</v>
      </c>
      <c r="E17" s="66">
        <v>99408.546038523</v>
      </c>
      <c r="N17" s="65"/>
      <c r="O17" s="65"/>
      <c r="P17" s="30">
        <v>2012.0</v>
      </c>
      <c r="Q17" s="66">
        <v>34990.76016583366</v>
      </c>
      <c r="R17" s="66">
        <v>71657.39811591312</v>
      </c>
      <c r="S17" s="66">
        <v>81322.99889924313</v>
      </c>
      <c r="T17" s="66">
        <v>88998.62685961589</v>
      </c>
      <c r="AC17" s="65"/>
    </row>
    <row r="18" ht="12.75" customHeight="1">
      <c r="A18" s="30">
        <v>2013.0</v>
      </c>
      <c r="B18" s="66">
        <v>65448.8943643651</v>
      </c>
      <c r="C18" s="66">
        <v>80633.0378568978</v>
      </c>
      <c r="D18" s="66">
        <v>82729.49684117716</v>
      </c>
      <c r="N18" s="65"/>
      <c r="O18" s="65"/>
      <c r="P18" s="30">
        <v>2013.0</v>
      </c>
      <c r="Q18" s="66">
        <v>31785.474093473338</v>
      </c>
      <c r="R18" s="66">
        <v>62331.31469730122</v>
      </c>
      <c r="S18" s="66">
        <v>69374.75325809626</v>
      </c>
      <c r="AC18" s="65"/>
    </row>
    <row r="19" ht="12.75" customHeight="1">
      <c r="A19" s="30">
        <v>2014.0</v>
      </c>
      <c r="B19" s="66">
        <v>63580.21429031582</v>
      </c>
      <c r="C19" s="66">
        <v>84816.0058632813</v>
      </c>
      <c r="D19" s="65"/>
      <c r="N19" s="65"/>
      <c r="O19" s="65"/>
      <c r="P19" s="30">
        <v>2014.0</v>
      </c>
      <c r="Q19" s="66">
        <v>33130.66348080609</v>
      </c>
      <c r="R19" s="66">
        <v>64406.009806687034</v>
      </c>
      <c r="S19" s="65"/>
      <c r="AC19" s="65"/>
    </row>
    <row r="20" ht="12.75" customHeight="1">
      <c r="A20" s="30">
        <v>2015.0</v>
      </c>
      <c r="B20" s="66">
        <v>66114.31940941376</v>
      </c>
      <c r="P20" s="30">
        <v>2015.0</v>
      </c>
      <c r="Q20" s="66">
        <v>32876.613568199726</v>
      </c>
    </row>
    <row r="21" ht="12.75" customHeight="1"/>
    <row r="22" ht="12.75" customHeight="1"/>
    <row r="23" ht="12.75" customHeight="1"/>
    <row r="24" ht="12.75" customHeight="1">
      <c r="A24" s="61" t="s">
        <v>101</v>
      </c>
      <c r="B24" s="62" t="s">
        <v>105</v>
      </c>
      <c r="O24" s="62"/>
      <c r="P24" s="61" t="s">
        <v>101</v>
      </c>
      <c r="Q24" s="62" t="s">
        <v>106</v>
      </c>
    </row>
    <row r="25" ht="12.75" customHeight="1">
      <c r="A25" s="30" t="s">
        <v>101</v>
      </c>
      <c r="B25" s="62" t="s">
        <v>118</v>
      </c>
      <c r="O25" s="62"/>
      <c r="P25" s="30" t="s">
        <v>101</v>
      </c>
      <c r="Q25" s="62" t="s">
        <v>118</v>
      </c>
    </row>
    <row r="26" ht="12.75" customHeight="1">
      <c r="A26" s="30"/>
      <c r="B26" s="30">
        <v>12.0</v>
      </c>
      <c r="C26" s="30">
        <v>24.0</v>
      </c>
      <c r="D26" s="30">
        <v>36.0</v>
      </c>
      <c r="E26" s="30">
        <v>48.0</v>
      </c>
      <c r="F26" s="30">
        <v>60.0</v>
      </c>
      <c r="G26" s="30">
        <v>72.0</v>
      </c>
      <c r="H26" s="30">
        <v>84.0</v>
      </c>
      <c r="I26" s="30">
        <v>96.0</v>
      </c>
      <c r="J26" s="30">
        <v>108.0</v>
      </c>
      <c r="K26" s="30">
        <v>120.0</v>
      </c>
      <c r="L26" s="30">
        <v>132.0</v>
      </c>
      <c r="M26" s="30">
        <v>144.0</v>
      </c>
      <c r="N26" s="30">
        <v>156.0</v>
      </c>
      <c r="O26" s="30"/>
      <c r="P26" s="30"/>
      <c r="Q26" s="30">
        <v>12.0</v>
      </c>
      <c r="R26" s="30">
        <v>24.0</v>
      </c>
      <c r="S26" s="30">
        <v>36.0</v>
      </c>
      <c r="T26" s="30">
        <v>48.0</v>
      </c>
      <c r="U26" s="30">
        <v>60.0</v>
      </c>
      <c r="V26" s="30">
        <v>72.0</v>
      </c>
      <c r="W26" s="30">
        <v>84.0</v>
      </c>
      <c r="X26" s="30">
        <v>96.0</v>
      </c>
      <c r="Y26" s="30">
        <v>108.0</v>
      </c>
      <c r="Z26" s="30">
        <v>120.0</v>
      </c>
      <c r="AA26" s="30">
        <v>132.0</v>
      </c>
      <c r="AB26" s="30">
        <v>144.0</v>
      </c>
      <c r="AC26" s="30">
        <v>156.0</v>
      </c>
    </row>
    <row r="27" ht="12.75" customHeight="1">
      <c r="A27" s="30" t="s">
        <v>74</v>
      </c>
      <c r="B27" s="30" t="s">
        <v>108</v>
      </c>
      <c r="C27" s="30" t="s">
        <v>108</v>
      </c>
      <c r="D27" s="30" t="s">
        <v>108</v>
      </c>
      <c r="E27" s="30" t="s">
        <v>108</v>
      </c>
      <c r="F27" s="30" t="s">
        <v>108</v>
      </c>
      <c r="G27" s="30" t="s">
        <v>108</v>
      </c>
      <c r="H27" s="30" t="s">
        <v>108</v>
      </c>
      <c r="I27" s="30" t="s">
        <v>108</v>
      </c>
      <c r="J27" s="30" t="s">
        <v>108</v>
      </c>
      <c r="K27" s="30" t="s">
        <v>108</v>
      </c>
      <c r="L27" s="30" t="s">
        <v>108</v>
      </c>
      <c r="M27" s="30" t="s">
        <v>108</v>
      </c>
      <c r="N27" s="30" t="s">
        <v>108</v>
      </c>
      <c r="O27" s="30"/>
      <c r="P27" s="30" t="s">
        <v>74</v>
      </c>
      <c r="Q27" s="30" t="s">
        <v>108</v>
      </c>
      <c r="R27" s="30" t="s">
        <v>108</v>
      </c>
      <c r="S27" s="30" t="s">
        <v>108</v>
      </c>
      <c r="T27" s="30" t="s">
        <v>108</v>
      </c>
      <c r="U27" s="30" t="s">
        <v>108</v>
      </c>
      <c r="V27" s="30" t="s">
        <v>108</v>
      </c>
      <c r="W27" s="30" t="s">
        <v>108</v>
      </c>
      <c r="X27" s="30" t="s">
        <v>108</v>
      </c>
      <c r="Y27" s="30" t="s">
        <v>108</v>
      </c>
      <c r="Z27" s="30" t="s">
        <v>108</v>
      </c>
      <c r="AA27" s="30" t="s">
        <v>108</v>
      </c>
      <c r="AB27" s="30" t="s">
        <v>108</v>
      </c>
      <c r="AC27" s="30" t="s">
        <v>108</v>
      </c>
    </row>
    <row r="28" ht="12.75" customHeight="1">
      <c r="A28" s="63" t="s">
        <v>84</v>
      </c>
      <c r="B28" s="67">
        <v>24.0</v>
      </c>
      <c r="C28" s="67">
        <v>36.0</v>
      </c>
      <c r="D28" s="67">
        <v>48.0</v>
      </c>
      <c r="E28" s="67">
        <v>60.0</v>
      </c>
      <c r="F28" s="67">
        <v>72.0</v>
      </c>
      <c r="G28" s="67">
        <v>84.0</v>
      </c>
      <c r="H28" s="67">
        <v>96.0</v>
      </c>
      <c r="I28" s="67">
        <v>108.0</v>
      </c>
      <c r="J28" s="67">
        <v>120.0</v>
      </c>
      <c r="K28" s="67">
        <v>132.0</v>
      </c>
      <c r="L28" s="67">
        <v>144.0</v>
      </c>
      <c r="M28" s="67">
        <v>156.0</v>
      </c>
      <c r="N28" s="67" t="s">
        <v>77</v>
      </c>
      <c r="O28" s="67"/>
      <c r="P28" s="63" t="s">
        <v>84</v>
      </c>
      <c r="Q28" s="67">
        <v>24.0</v>
      </c>
      <c r="R28" s="67">
        <v>36.0</v>
      </c>
      <c r="S28" s="67">
        <v>48.0</v>
      </c>
      <c r="T28" s="67">
        <v>60.0</v>
      </c>
      <c r="U28" s="67">
        <v>72.0</v>
      </c>
      <c r="V28" s="67">
        <v>84.0</v>
      </c>
      <c r="W28" s="67">
        <v>96.0</v>
      </c>
      <c r="X28" s="67">
        <v>108.0</v>
      </c>
      <c r="Y28" s="67">
        <v>120.0</v>
      </c>
      <c r="Z28" s="67">
        <v>132.0</v>
      </c>
      <c r="AA28" s="67">
        <v>144.0</v>
      </c>
      <c r="AB28" s="67">
        <v>156.0</v>
      </c>
      <c r="AC28" s="67" t="s">
        <v>77</v>
      </c>
    </row>
    <row r="29" ht="12.75" customHeight="1">
      <c r="A29" s="63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3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 ht="12.75" customHeight="1">
      <c r="A30" s="30">
        <f t="shared" ref="A30:A41" si="3">A8</f>
        <v>2003</v>
      </c>
      <c r="B30" s="65"/>
      <c r="C30" s="65"/>
      <c r="D30" s="65"/>
      <c r="E30" s="65"/>
      <c r="F30" s="65"/>
      <c r="G30" s="65"/>
      <c r="H30" s="65"/>
      <c r="I30" s="65">
        <f t="shared" ref="I30:M30" si="1">IFERROR(J8/I8,1)</f>
        <v>1.057369188</v>
      </c>
      <c r="J30" s="65">
        <f t="shared" si="1"/>
        <v>1.037550637</v>
      </c>
      <c r="K30" s="65">
        <f t="shared" si="1"/>
        <v>0.9891276367</v>
      </c>
      <c r="L30" s="65">
        <f t="shared" si="1"/>
        <v>1.020102095</v>
      </c>
      <c r="M30" s="65">
        <f t="shared" si="1"/>
        <v>0.9900990099</v>
      </c>
      <c r="N30" s="65"/>
      <c r="O30" s="65"/>
      <c r="P30" s="30">
        <f t="shared" ref="P30:P41" si="5">P8</f>
        <v>2003</v>
      </c>
      <c r="Q30" s="65"/>
      <c r="R30" s="65"/>
      <c r="S30" s="65"/>
      <c r="T30" s="65"/>
      <c r="U30" s="65"/>
      <c r="V30" s="65"/>
      <c r="W30" s="65"/>
      <c r="X30" s="65">
        <f t="shared" ref="X30:AB30" si="2">IFERROR(Y8/X8,1)</f>
        <v>1.039171519</v>
      </c>
      <c r="Y30" s="65">
        <f t="shared" si="2"/>
        <v>1.036589706</v>
      </c>
      <c r="Z30" s="65">
        <f t="shared" si="2"/>
        <v>1.01040561</v>
      </c>
      <c r="AA30" s="65">
        <f t="shared" si="2"/>
        <v>1.033563458</v>
      </c>
      <c r="AB30" s="65">
        <f t="shared" si="2"/>
        <v>1.024949069</v>
      </c>
      <c r="AC30" s="65"/>
      <c r="AE30" s="65"/>
      <c r="AF30" s="65"/>
      <c r="AG30" s="65"/>
      <c r="AH30" s="65"/>
      <c r="AI30" s="65"/>
      <c r="AJ30" s="65"/>
    </row>
    <row r="31" ht="12.75" customHeight="1">
      <c r="A31" s="30">
        <f t="shared" si="3"/>
        <v>2004</v>
      </c>
      <c r="B31" s="65"/>
      <c r="C31" s="65"/>
      <c r="D31" s="65"/>
      <c r="E31" s="65"/>
      <c r="F31" s="65"/>
      <c r="G31" s="65"/>
      <c r="H31" s="65">
        <f t="shared" ref="H31:L31" si="4">IFERROR(I9/H9,1)</f>
        <v>1.004</v>
      </c>
      <c r="I31" s="65">
        <f t="shared" si="4"/>
        <v>1.030497016</v>
      </c>
      <c r="J31" s="65">
        <f t="shared" si="4"/>
        <v>0.9975580735</v>
      </c>
      <c r="K31" s="65">
        <f t="shared" si="4"/>
        <v>1.021505235</v>
      </c>
      <c r="L31" s="65">
        <f t="shared" si="4"/>
        <v>0.9913458812</v>
      </c>
      <c r="M31" s="65"/>
      <c r="N31" s="65"/>
      <c r="O31" s="65"/>
      <c r="P31" s="30">
        <f t="shared" si="5"/>
        <v>2004</v>
      </c>
      <c r="Q31" s="65"/>
      <c r="R31" s="65"/>
      <c r="S31" s="65"/>
      <c r="T31" s="65"/>
      <c r="U31" s="65"/>
      <c r="V31" s="65"/>
      <c r="W31" s="65">
        <f t="shared" ref="W31:AA31" si="6">IFERROR(X9/W9,1)</f>
        <v>1.003</v>
      </c>
      <c r="X31" s="65">
        <f t="shared" si="6"/>
        <v>1.026235574</v>
      </c>
      <c r="Y31" s="65">
        <f t="shared" si="6"/>
        <v>1.003414893</v>
      </c>
      <c r="Z31" s="65">
        <f t="shared" si="6"/>
        <v>1.025396023</v>
      </c>
      <c r="AA31" s="65">
        <f t="shared" si="6"/>
        <v>1.010191449</v>
      </c>
      <c r="AB31" s="65"/>
      <c r="AC31" s="65"/>
      <c r="AE31" s="65"/>
      <c r="AF31" s="65"/>
      <c r="AG31" s="65"/>
      <c r="AH31" s="65"/>
      <c r="AI31" s="65"/>
      <c r="AJ31" s="65"/>
    </row>
    <row r="32" ht="12.75" customHeight="1">
      <c r="A32" s="30">
        <f t="shared" si="3"/>
        <v>2005</v>
      </c>
      <c r="B32" s="65"/>
      <c r="C32" s="65"/>
      <c r="D32" s="65"/>
      <c r="E32" s="65"/>
      <c r="F32" s="65"/>
      <c r="G32" s="65">
        <f t="shared" ref="G32:K32" si="7">IFERROR(H10/G10,1)</f>
        <v>0.989</v>
      </c>
      <c r="H32" s="65">
        <f t="shared" si="7"/>
        <v>0.994</v>
      </c>
      <c r="I32" s="65">
        <f t="shared" si="7"/>
        <v>1.041619268</v>
      </c>
      <c r="J32" s="65">
        <f t="shared" si="7"/>
        <v>1.057183401</v>
      </c>
      <c r="K32" s="65">
        <f t="shared" si="7"/>
        <v>1.004753325</v>
      </c>
      <c r="L32" s="65"/>
      <c r="M32" s="65"/>
      <c r="N32" s="65"/>
      <c r="O32" s="65"/>
      <c r="P32" s="30">
        <f t="shared" si="5"/>
        <v>2005</v>
      </c>
      <c r="Q32" s="65"/>
      <c r="R32" s="65"/>
      <c r="S32" s="65"/>
      <c r="T32" s="65"/>
      <c r="U32" s="65"/>
      <c r="V32" s="65">
        <f t="shared" ref="V32:Z32" si="8">IFERROR(W10/V10,1)</f>
        <v>1.005</v>
      </c>
      <c r="W32" s="65">
        <f t="shared" si="8"/>
        <v>1.005</v>
      </c>
      <c r="X32" s="65">
        <f t="shared" si="8"/>
        <v>1.018946992</v>
      </c>
      <c r="Y32" s="65">
        <f t="shared" si="8"/>
        <v>1.042146974</v>
      </c>
      <c r="Z32" s="65">
        <f t="shared" si="8"/>
        <v>1.025534857</v>
      </c>
      <c r="AA32" s="65"/>
      <c r="AB32" s="65"/>
      <c r="AC32" s="65"/>
      <c r="AE32" s="65"/>
      <c r="AF32" s="65"/>
      <c r="AG32" s="65"/>
      <c r="AH32" s="65"/>
      <c r="AI32" s="65"/>
      <c r="AJ32" s="65"/>
    </row>
    <row r="33" ht="12.75" customHeight="1">
      <c r="A33" s="30">
        <f t="shared" si="3"/>
        <v>2006</v>
      </c>
      <c r="B33" s="65"/>
      <c r="C33" s="65"/>
      <c r="D33" s="65"/>
      <c r="E33" s="65"/>
      <c r="F33" s="65">
        <f t="shared" ref="F33:J33" si="9">IFERROR(G11/F11,1)</f>
        <v>0.994</v>
      </c>
      <c r="G33" s="65">
        <f t="shared" si="9"/>
        <v>0.985</v>
      </c>
      <c r="H33" s="65">
        <f t="shared" si="9"/>
        <v>1.011</v>
      </c>
      <c r="I33" s="65">
        <f t="shared" si="9"/>
        <v>1.030001942</v>
      </c>
      <c r="J33" s="65">
        <f t="shared" si="9"/>
        <v>1.007271328</v>
      </c>
      <c r="K33" s="65"/>
      <c r="L33" s="65"/>
      <c r="M33" s="65"/>
      <c r="N33" s="65"/>
      <c r="O33" s="65"/>
      <c r="P33" s="30">
        <f t="shared" si="5"/>
        <v>2006</v>
      </c>
      <c r="Q33" s="65"/>
      <c r="R33" s="65"/>
      <c r="S33" s="65"/>
      <c r="T33" s="65"/>
      <c r="U33" s="65">
        <f t="shared" ref="U33:Y33" si="10">IFERROR(V11/U11,1)</f>
        <v>1.016</v>
      </c>
      <c r="V33" s="65">
        <f t="shared" si="10"/>
        <v>1.006</v>
      </c>
      <c r="W33" s="65">
        <f t="shared" si="10"/>
        <v>1.008</v>
      </c>
      <c r="X33" s="65">
        <f t="shared" si="10"/>
        <v>1.021260116</v>
      </c>
      <c r="Y33" s="65">
        <f t="shared" si="10"/>
        <v>1.008636439</v>
      </c>
      <c r="Z33" s="65"/>
      <c r="AA33" s="65"/>
      <c r="AB33" s="65"/>
      <c r="AC33" s="65"/>
      <c r="AE33" s="65"/>
      <c r="AF33" s="65"/>
      <c r="AG33" s="65"/>
      <c r="AH33" s="65"/>
      <c r="AI33" s="65"/>
      <c r="AJ33" s="65"/>
    </row>
    <row r="34" ht="12.75" customHeight="1">
      <c r="A34" s="30">
        <f t="shared" si="3"/>
        <v>2007</v>
      </c>
      <c r="B34" s="65"/>
      <c r="C34" s="65"/>
      <c r="D34" s="65"/>
      <c r="E34" s="65">
        <f t="shared" ref="E34:I34" si="11">IFERROR(F12/E12,1)</f>
        <v>0.986</v>
      </c>
      <c r="F34" s="65">
        <f t="shared" si="11"/>
        <v>0.989</v>
      </c>
      <c r="G34" s="65">
        <f t="shared" si="11"/>
        <v>0.983</v>
      </c>
      <c r="H34" s="65">
        <f t="shared" si="11"/>
        <v>0.997</v>
      </c>
      <c r="I34" s="65">
        <f t="shared" si="11"/>
        <v>1.016857906</v>
      </c>
      <c r="J34" s="65"/>
      <c r="K34" s="65"/>
      <c r="L34" s="65"/>
      <c r="M34" s="65"/>
      <c r="N34" s="65"/>
      <c r="O34" s="65"/>
      <c r="P34" s="30">
        <f t="shared" si="5"/>
        <v>2007</v>
      </c>
      <c r="Q34" s="65"/>
      <c r="R34" s="65"/>
      <c r="S34" s="65"/>
      <c r="T34" s="65">
        <f t="shared" ref="T34:X34" si="12">IFERROR(U12/T12,1)</f>
        <v>1.022</v>
      </c>
      <c r="U34" s="65">
        <f t="shared" si="12"/>
        <v>1.009</v>
      </c>
      <c r="V34" s="65">
        <f t="shared" si="12"/>
        <v>1.003</v>
      </c>
      <c r="W34" s="65">
        <f t="shared" si="12"/>
        <v>1.003</v>
      </c>
      <c r="X34" s="65">
        <f t="shared" si="12"/>
        <v>1.015887115</v>
      </c>
      <c r="Y34" s="65"/>
      <c r="Z34" s="65"/>
      <c r="AA34" s="65"/>
      <c r="AB34" s="65"/>
      <c r="AC34" s="65"/>
      <c r="AE34" s="65"/>
      <c r="AF34" s="65"/>
      <c r="AG34" s="65"/>
      <c r="AH34" s="65"/>
      <c r="AI34" s="65"/>
      <c r="AJ34" s="65"/>
    </row>
    <row r="35" ht="12.75" customHeight="1">
      <c r="A35" s="30">
        <f t="shared" si="3"/>
        <v>2008</v>
      </c>
      <c r="B35" s="65"/>
      <c r="C35" s="65"/>
      <c r="D35" s="65">
        <f t="shared" ref="D35:H35" si="13">IFERROR(E13/D13,1)</f>
        <v>0.994</v>
      </c>
      <c r="E35" s="65">
        <f t="shared" si="13"/>
        <v>0.984</v>
      </c>
      <c r="F35" s="65">
        <f t="shared" si="13"/>
        <v>0.99</v>
      </c>
      <c r="G35" s="65">
        <f t="shared" si="13"/>
        <v>0.987</v>
      </c>
      <c r="H35" s="65">
        <f t="shared" si="13"/>
        <v>0.997</v>
      </c>
      <c r="I35" s="65"/>
      <c r="J35" s="65"/>
      <c r="K35" s="65"/>
      <c r="L35" s="65"/>
      <c r="M35" s="65"/>
      <c r="N35" s="65"/>
      <c r="P35" s="30">
        <f t="shared" si="5"/>
        <v>2008</v>
      </c>
      <c r="Q35" s="65"/>
      <c r="R35" s="65"/>
      <c r="S35" s="65">
        <f t="shared" ref="S35:W35" si="14">IFERROR(T13/S13,1)</f>
        <v>1.049</v>
      </c>
      <c r="T35" s="65">
        <f t="shared" si="14"/>
        <v>1.021</v>
      </c>
      <c r="U35" s="65">
        <f t="shared" si="14"/>
        <v>1.008</v>
      </c>
      <c r="V35" s="65">
        <f t="shared" si="14"/>
        <v>1.006</v>
      </c>
      <c r="W35" s="65">
        <f t="shared" si="14"/>
        <v>1.004</v>
      </c>
      <c r="X35" s="65"/>
      <c r="Y35" s="65"/>
      <c r="Z35" s="65"/>
      <c r="AA35" s="65"/>
      <c r="AB35" s="65"/>
      <c r="AC35" s="65"/>
      <c r="AE35" s="65"/>
      <c r="AF35" s="65"/>
      <c r="AG35" s="65"/>
      <c r="AH35" s="65"/>
      <c r="AI35" s="65"/>
      <c r="AJ35" s="65"/>
    </row>
    <row r="36" ht="12.75" customHeight="1">
      <c r="A36" s="30">
        <f t="shared" si="3"/>
        <v>2009</v>
      </c>
      <c r="B36" s="65"/>
      <c r="C36" s="65">
        <f t="shared" ref="C36:G36" si="15">IFERROR(D14/C14,1)</f>
        <v>1.001</v>
      </c>
      <c r="D36" s="65">
        <f t="shared" si="15"/>
        <v>1.003</v>
      </c>
      <c r="E36" s="65">
        <f t="shared" si="15"/>
        <v>0.984</v>
      </c>
      <c r="F36" s="65">
        <f t="shared" si="15"/>
        <v>0.992</v>
      </c>
      <c r="G36" s="65">
        <f t="shared" si="15"/>
        <v>0.986</v>
      </c>
      <c r="H36" s="65"/>
      <c r="I36" s="65"/>
      <c r="J36" s="65"/>
      <c r="K36" s="65"/>
      <c r="L36" s="65"/>
      <c r="M36" s="65"/>
      <c r="N36" s="65"/>
      <c r="P36" s="30">
        <f t="shared" si="5"/>
        <v>2009</v>
      </c>
      <c r="Q36" s="65"/>
      <c r="R36" s="65">
        <f t="shared" ref="R36:V36" si="16">IFERROR(S14/R14,1)</f>
        <v>1.118</v>
      </c>
      <c r="S36" s="65">
        <f t="shared" si="16"/>
        <v>1.039</v>
      </c>
      <c r="T36" s="65">
        <f t="shared" si="16"/>
        <v>1.016</v>
      </c>
      <c r="U36" s="65">
        <f t="shared" si="16"/>
        <v>1.006</v>
      </c>
      <c r="V36" s="65">
        <f t="shared" si="16"/>
        <v>1.002</v>
      </c>
      <c r="W36" s="65"/>
      <c r="X36" s="65"/>
      <c r="Y36" s="65"/>
      <c r="Z36" s="65"/>
      <c r="AA36" s="65"/>
      <c r="AB36" s="65"/>
      <c r="AC36" s="65"/>
      <c r="AE36" s="65"/>
      <c r="AF36" s="65"/>
      <c r="AG36" s="65"/>
      <c r="AH36" s="65"/>
      <c r="AI36" s="65"/>
      <c r="AJ36" s="65"/>
    </row>
    <row r="37" ht="12.75" customHeight="1">
      <c r="A37" s="30">
        <f t="shared" si="3"/>
        <v>2010</v>
      </c>
      <c r="B37" s="65">
        <f t="shared" ref="B37:F37" si="17">IFERROR(C15/B15,1)</f>
        <v>1.239</v>
      </c>
      <c r="C37" s="65">
        <f t="shared" si="17"/>
        <v>1.019</v>
      </c>
      <c r="D37" s="65">
        <f t="shared" si="17"/>
        <v>0.99</v>
      </c>
      <c r="E37" s="65">
        <f t="shared" si="17"/>
        <v>0.975</v>
      </c>
      <c r="F37" s="65">
        <f t="shared" si="17"/>
        <v>0.9892498268</v>
      </c>
      <c r="G37" s="65"/>
      <c r="H37" s="65"/>
      <c r="I37" s="65"/>
      <c r="J37" s="65"/>
      <c r="K37" s="65"/>
      <c r="L37" s="65"/>
      <c r="M37" s="65"/>
      <c r="N37" s="65"/>
      <c r="P37" s="30">
        <f t="shared" si="5"/>
        <v>2010</v>
      </c>
      <c r="Q37" s="65">
        <f t="shared" ref="Q37:U37" si="18">IFERROR(R15/Q15,1)</f>
        <v>1.913</v>
      </c>
      <c r="R37" s="65">
        <f t="shared" si="18"/>
        <v>1.118</v>
      </c>
      <c r="S37" s="65">
        <f t="shared" si="18"/>
        <v>1.041</v>
      </c>
      <c r="T37" s="65">
        <f t="shared" si="18"/>
        <v>1.015</v>
      </c>
      <c r="U37" s="65">
        <f t="shared" si="18"/>
        <v>1.009</v>
      </c>
      <c r="V37" s="65"/>
      <c r="W37" s="65"/>
      <c r="X37" s="65"/>
      <c r="Y37" s="65"/>
      <c r="Z37" s="65"/>
      <c r="AA37" s="65"/>
      <c r="AB37" s="65"/>
      <c r="AC37" s="65"/>
      <c r="AE37" s="65"/>
      <c r="AF37" s="65"/>
      <c r="AG37" s="65"/>
      <c r="AH37" s="65"/>
      <c r="AI37" s="65"/>
      <c r="AJ37" s="65"/>
    </row>
    <row r="38" ht="12.75" customHeight="1">
      <c r="A38" s="30">
        <f t="shared" si="3"/>
        <v>2011</v>
      </c>
      <c r="B38" s="65">
        <f t="shared" ref="B38:E38" si="19">IFERROR(C16/B16,1)</f>
        <v>1.263</v>
      </c>
      <c r="C38" s="65">
        <f t="shared" si="19"/>
        <v>1.005</v>
      </c>
      <c r="D38" s="65">
        <f t="shared" si="19"/>
        <v>0.974</v>
      </c>
      <c r="E38" s="65">
        <f t="shared" si="19"/>
        <v>0.996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30">
        <f t="shared" si="5"/>
        <v>2011</v>
      </c>
      <c r="Q38" s="65">
        <f t="shared" ref="Q38:T38" si="20">IFERROR(R16/Q16,1)</f>
        <v>1.957</v>
      </c>
      <c r="R38" s="65">
        <f t="shared" si="20"/>
        <v>1.114</v>
      </c>
      <c r="S38" s="65">
        <f t="shared" si="20"/>
        <v>1.037</v>
      </c>
      <c r="T38" s="65">
        <f t="shared" si="20"/>
        <v>1.018</v>
      </c>
      <c r="U38" s="65"/>
      <c r="V38" s="65"/>
      <c r="W38" s="65"/>
      <c r="X38" s="65"/>
      <c r="Y38" s="65"/>
      <c r="Z38" s="65"/>
      <c r="AA38" s="65"/>
      <c r="AB38" s="65"/>
      <c r="AC38" s="65"/>
      <c r="AE38" s="65"/>
      <c r="AF38" s="65"/>
      <c r="AG38" s="65"/>
      <c r="AH38" s="65"/>
      <c r="AI38" s="65"/>
      <c r="AJ38" s="65"/>
    </row>
    <row r="39" ht="12.75" customHeight="1">
      <c r="A39" s="30">
        <f t="shared" si="3"/>
        <v>2012</v>
      </c>
      <c r="B39" s="65">
        <f t="shared" ref="B39:D39" si="21">IFERROR(C17/B17,1)</f>
        <v>1.362286999</v>
      </c>
      <c r="C39" s="65">
        <f t="shared" si="21"/>
        <v>1.056868523</v>
      </c>
      <c r="D39" s="65">
        <f t="shared" si="21"/>
        <v>0.9777419107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30">
        <f t="shared" si="5"/>
        <v>2012</v>
      </c>
      <c r="Q39" s="65">
        <f t="shared" ref="Q39:S39" si="22">IFERROR(R17/Q17,1)</f>
        <v>2.047894866</v>
      </c>
      <c r="R39" s="65">
        <f t="shared" si="22"/>
        <v>1.134886293</v>
      </c>
      <c r="S39" s="65">
        <f t="shared" si="22"/>
        <v>1.094384468</v>
      </c>
      <c r="T39" s="65"/>
      <c r="U39" s="65"/>
      <c r="V39" s="65"/>
      <c r="W39" s="65"/>
      <c r="X39" s="65"/>
      <c r="Y39" s="65"/>
      <c r="Z39" s="65"/>
      <c r="AA39" s="65"/>
      <c r="AB39" s="65"/>
      <c r="AC39" s="65"/>
      <c r="AE39" s="65"/>
      <c r="AF39" s="65"/>
      <c r="AG39" s="65"/>
      <c r="AH39" s="65"/>
      <c r="AI39" s="65"/>
      <c r="AJ39" s="65"/>
    </row>
    <row r="40" ht="12.75" customHeight="1">
      <c r="A40" s="30">
        <f t="shared" si="3"/>
        <v>2013</v>
      </c>
      <c r="B40" s="65">
        <f t="shared" ref="B40:C40" si="23">IFERROR(C18/B18,1)</f>
        <v>1.232</v>
      </c>
      <c r="C40" s="65">
        <f t="shared" si="23"/>
        <v>1.026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30">
        <f t="shared" si="5"/>
        <v>2013</v>
      </c>
      <c r="Q40" s="65">
        <f t="shared" ref="Q40:R40" si="24">IFERROR(R18/Q18,1)</f>
        <v>1.961</v>
      </c>
      <c r="R40" s="65">
        <f t="shared" si="24"/>
        <v>1.113</v>
      </c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E40" s="65"/>
      <c r="AF40" s="65"/>
      <c r="AG40" s="65"/>
      <c r="AH40" s="65"/>
      <c r="AI40" s="65"/>
      <c r="AJ40" s="65"/>
    </row>
    <row r="41" ht="12.75" customHeight="1">
      <c r="A41" s="30">
        <f t="shared" si="3"/>
        <v>2014</v>
      </c>
      <c r="B41" s="65">
        <f>IFERROR(C19/B19,1)</f>
        <v>1.334</v>
      </c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30">
        <f t="shared" si="5"/>
        <v>2014</v>
      </c>
      <c r="Q41" s="65">
        <f>IFERROR(R19/Q19,1)</f>
        <v>1.944</v>
      </c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E41" s="65"/>
      <c r="AF41" s="65"/>
      <c r="AG41" s="65"/>
      <c r="AH41" s="65"/>
      <c r="AI41" s="65"/>
      <c r="AJ41" s="65"/>
    </row>
    <row r="42" ht="12.75" customHeight="1">
      <c r="B42" s="30"/>
      <c r="C42" s="30"/>
      <c r="H42" s="30"/>
      <c r="I42" s="30"/>
      <c r="J42" s="30"/>
      <c r="K42" s="30"/>
      <c r="L42" s="30"/>
      <c r="M42" s="30"/>
      <c r="N42" s="30"/>
      <c r="O42" s="30"/>
      <c r="Q42" s="30"/>
      <c r="R42" s="30"/>
      <c r="W42" s="30"/>
      <c r="X42" s="30"/>
      <c r="Y42" s="30"/>
      <c r="Z42" s="30"/>
      <c r="AA42" s="30"/>
      <c r="AB42" s="30"/>
      <c r="AC42" s="30"/>
    </row>
    <row r="43" ht="12.75" customHeight="1">
      <c r="A43" s="68" t="s">
        <v>109</v>
      </c>
      <c r="P43" s="68" t="s">
        <v>109</v>
      </c>
    </row>
    <row r="44" ht="12.75" customHeight="1">
      <c r="A44" s="69" t="s">
        <v>110</v>
      </c>
      <c r="B44" s="65">
        <f>AVERAGE(B40:B41)</f>
        <v>1.283</v>
      </c>
      <c r="C44" s="65">
        <f>AVERAGE(C39:C40)</f>
        <v>1.041434261</v>
      </c>
      <c r="D44" s="65">
        <f>AVERAGE(D38:D39)</f>
        <v>0.9758709553</v>
      </c>
      <c r="E44" s="65">
        <f>AVERAGE(E37:E38)</f>
        <v>0.9855</v>
      </c>
      <c r="F44" s="65">
        <f>AVERAGE(F36:F37)</f>
        <v>0.9906249134</v>
      </c>
      <c r="G44" s="65">
        <f>AVERAGE(G35:G36)</f>
        <v>0.9865</v>
      </c>
      <c r="H44" s="65">
        <f>AVERAGE(H34:H35)</f>
        <v>0.997</v>
      </c>
      <c r="I44" s="65">
        <f>AVERAGE(I33:I34)</f>
        <v>1.023429924</v>
      </c>
      <c r="J44" s="65">
        <f>AVERAGE(J32:J33)</f>
        <v>1.032227365</v>
      </c>
      <c r="K44" s="65">
        <f>AVERAGE(K31:K32)</f>
        <v>1.01312928</v>
      </c>
      <c r="L44" s="65">
        <f>AVERAGE(L30:L31)</f>
        <v>1.005723988</v>
      </c>
      <c r="M44" s="70">
        <f>M$48</f>
        <v>0.9900990099</v>
      </c>
      <c r="N44" s="65"/>
      <c r="O44" s="65"/>
      <c r="P44" s="69" t="s">
        <v>110</v>
      </c>
      <c r="Q44" s="65">
        <f>AVERAGE(Q40:Q41)</f>
        <v>1.9525</v>
      </c>
      <c r="R44" s="65">
        <f>AVERAGE(R39:R40)</f>
        <v>1.123943146</v>
      </c>
      <c r="S44" s="65">
        <f>AVERAGE(S38:S39)</f>
        <v>1.065692234</v>
      </c>
      <c r="T44" s="65">
        <f>AVERAGE(T37:T38)</f>
        <v>1.0165</v>
      </c>
      <c r="U44" s="65">
        <f>AVERAGE(U36:U37)</f>
        <v>1.0075</v>
      </c>
      <c r="V44" s="65">
        <f>AVERAGE(V35:V36)</f>
        <v>1.004</v>
      </c>
      <c r="W44" s="65">
        <f t="shared" ref="W44:X44" si="25">AVERAGE(W34:W35)</f>
        <v>1.0035</v>
      </c>
      <c r="X44" s="65">
        <f t="shared" si="25"/>
        <v>1.015887115</v>
      </c>
      <c r="Y44" s="65">
        <f>AVERAGE(Y32:Y33)</f>
        <v>1.025391707</v>
      </c>
      <c r="Z44" s="65">
        <f>AVERAGE(Z31:Z32)</f>
        <v>1.02546544</v>
      </c>
      <c r="AA44" s="65">
        <f>AVERAGE(AA30:AA31)</f>
        <v>1.021877454</v>
      </c>
      <c r="AB44" s="70">
        <f>AB$48</f>
        <v>1.024949069</v>
      </c>
      <c r="AC44" s="65"/>
    </row>
    <row r="45" ht="12.75" customHeight="1">
      <c r="A45" s="69" t="s">
        <v>111</v>
      </c>
      <c r="B45" s="65">
        <f>AVERAGE(B39:B41)</f>
        <v>1.309429</v>
      </c>
      <c r="C45" s="65">
        <f>AVERAGE(C38:C40)</f>
        <v>1.029289508</v>
      </c>
      <c r="D45" s="65">
        <f>AVERAGE(D37:D39)</f>
        <v>0.9805806369</v>
      </c>
      <c r="E45" s="65">
        <f>AVERAGE(E36:E38)</f>
        <v>0.985</v>
      </c>
      <c r="F45" s="65">
        <f>AVERAGE(F35:F37)</f>
        <v>0.9904166089</v>
      </c>
      <c r="G45" s="65">
        <f>AVERAGE(G34:G36)</f>
        <v>0.9853333333</v>
      </c>
      <c r="H45" s="65">
        <f>AVERAGE(H33:H35)</f>
        <v>1.001666667</v>
      </c>
      <c r="I45" s="65">
        <f>AVERAGE(I32:I34)</f>
        <v>1.029493039</v>
      </c>
      <c r="J45" s="65">
        <f>AVERAGE(J31:J33)</f>
        <v>1.020670934</v>
      </c>
      <c r="K45" s="65">
        <f>AVERAGE(K30:K32)</f>
        <v>1.005128732</v>
      </c>
      <c r="L45" s="70">
        <f t="shared" ref="L45:M45" si="26">L$48</f>
        <v>1.005723988</v>
      </c>
      <c r="M45" s="70">
        <f t="shared" si="26"/>
        <v>0.9900990099</v>
      </c>
      <c r="N45" s="65"/>
      <c r="O45" s="65"/>
      <c r="P45" s="69" t="s">
        <v>111</v>
      </c>
      <c r="Q45" s="65">
        <f>AVERAGE(Q39:Q41)</f>
        <v>1.984298289</v>
      </c>
      <c r="R45" s="65">
        <f>AVERAGE(R38:R40)</f>
        <v>1.120628764</v>
      </c>
      <c r="S45" s="65">
        <f>AVERAGE(S37:S39)</f>
        <v>1.057461489</v>
      </c>
      <c r="T45" s="65">
        <f>AVERAGE(T36:T38)</f>
        <v>1.016333333</v>
      </c>
      <c r="U45" s="65">
        <f>AVERAGE(U35:U37)</f>
        <v>1.007666667</v>
      </c>
      <c r="V45" s="65">
        <f>AVERAGE(V34:V36)</f>
        <v>1.003666667</v>
      </c>
      <c r="W45" s="65">
        <f t="shared" ref="W45:X45" si="27">AVERAGE(W33:W35)</f>
        <v>1.005</v>
      </c>
      <c r="X45" s="65">
        <f t="shared" si="27"/>
        <v>1.018573615</v>
      </c>
      <c r="Y45" s="65">
        <f>AVERAGE(Y31:Y33)</f>
        <v>1.018066102</v>
      </c>
      <c r="Z45" s="65">
        <f>AVERAGE(Z30:Z32)</f>
        <v>1.020445496</v>
      </c>
      <c r="AA45" s="70">
        <f t="shared" ref="AA45:AB45" si="28">AA$48</f>
        <v>1.021877454</v>
      </c>
      <c r="AB45" s="70">
        <f t="shared" si="28"/>
        <v>1.024949069</v>
      </c>
      <c r="AC45" s="65"/>
    </row>
    <row r="46" ht="12.75" customHeight="1">
      <c r="A46" s="69" t="s">
        <v>112</v>
      </c>
      <c r="B46" s="65">
        <f>AVERAGE(B38:B41)</f>
        <v>1.29782175</v>
      </c>
      <c r="C46" s="65">
        <f>AVERAGE(C37:C40)</f>
        <v>1.026717131</v>
      </c>
      <c r="D46" s="65">
        <f>AVERAGE(D36:D39)</f>
        <v>0.9861854777</v>
      </c>
      <c r="E46" s="65">
        <f>AVERAGE(E35:E38)</f>
        <v>0.98475</v>
      </c>
      <c r="F46" s="65">
        <f>AVERAGE(F34:F37)</f>
        <v>0.9900624567</v>
      </c>
      <c r="G46" s="65">
        <f>AVERAGE(G33:G36)</f>
        <v>0.98525</v>
      </c>
      <c r="H46" s="65">
        <f>AVERAGE(H32:H35)</f>
        <v>0.99975</v>
      </c>
      <c r="I46" s="65">
        <f>AVERAGE(I31:I34)</f>
        <v>1.029744033</v>
      </c>
      <c r="J46" s="65">
        <f>AVERAGE(J30:J33)</f>
        <v>1.02489086</v>
      </c>
      <c r="K46" s="70">
        <f t="shared" ref="K46:M46" si="29">K$48</f>
        <v>1.005128732</v>
      </c>
      <c r="L46" s="70">
        <f t="shared" si="29"/>
        <v>1.005723988</v>
      </c>
      <c r="M46" s="70">
        <f t="shared" si="29"/>
        <v>0.9900990099</v>
      </c>
      <c r="N46" s="65"/>
      <c r="O46" s="65"/>
      <c r="P46" s="69" t="s">
        <v>112</v>
      </c>
      <c r="Q46" s="65">
        <f>AVERAGE(Q38:Q41)</f>
        <v>1.977473717</v>
      </c>
      <c r="R46" s="65">
        <f>AVERAGE(R37:R40)</f>
        <v>1.119971573</v>
      </c>
      <c r="S46" s="65">
        <f>AVERAGE(S36:S39)</f>
        <v>1.052846117</v>
      </c>
      <c r="T46" s="65">
        <f>AVERAGE(T35:T38)</f>
        <v>1.0175</v>
      </c>
      <c r="U46" s="65">
        <f>AVERAGE(U34:U37)</f>
        <v>1.008</v>
      </c>
      <c r="V46" s="65">
        <f>AVERAGE(V33:V36)</f>
        <v>1.00425</v>
      </c>
      <c r="W46" s="65">
        <f t="shared" ref="W46:X46" si="30">AVERAGE(W32:W35)</f>
        <v>1.005</v>
      </c>
      <c r="X46" s="65">
        <f t="shared" si="30"/>
        <v>1.018698074</v>
      </c>
      <c r="Y46" s="65">
        <f>AVERAGE(Y30:Y33)</f>
        <v>1.022697003</v>
      </c>
      <c r="Z46" s="70">
        <f t="shared" ref="Z46:AB46" si="31">Z$48</f>
        <v>1.020445496</v>
      </c>
      <c r="AA46" s="70">
        <f t="shared" si="31"/>
        <v>1.021877454</v>
      </c>
      <c r="AB46" s="70">
        <f t="shared" si="31"/>
        <v>1.024949069</v>
      </c>
      <c r="AC46" s="65"/>
    </row>
    <row r="47" ht="12.75" customHeight="1">
      <c r="A47" s="69" t="s">
        <v>113</v>
      </c>
      <c r="B47" s="65">
        <f>AVERAGE(B37:B41)</f>
        <v>1.2860574</v>
      </c>
      <c r="C47" s="65">
        <f>AVERAGE(C36:C40)</f>
        <v>1.021573705</v>
      </c>
      <c r="D47" s="65">
        <f>AVERAGE(D35:D39)</f>
        <v>0.9877483821</v>
      </c>
      <c r="E47" s="65">
        <f>AVERAGE(E34:E38)</f>
        <v>0.985</v>
      </c>
      <c r="F47" s="65">
        <f>AVERAGE(F33:F37)</f>
        <v>0.9908499654</v>
      </c>
      <c r="G47" s="65">
        <f>AVERAGE(G32:G36)</f>
        <v>0.986</v>
      </c>
      <c r="H47" s="65">
        <f>AVERAGE(H31:H35)</f>
        <v>1.0006</v>
      </c>
      <c r="I47" s="65">
        <f>AVERAGE(I30:I34)</f>
        <v>1.035269064</v>
      </c>
      <c r="J47" s="70">
        <f t="shared" ref="J47:M47" si="32">J$48</f>
        <v>1.02489086</v>
      </c>
      <c r="K47" s="70">
        <f t="shared" si="32"/>
        <v>1.005128732</v>
      </c>
      <c r="L47" s="70">
        <f t="shared" si="32"/>
        <v>1.005723988</v>
      </c>
      <c r="M47" s="70">
        <f t="shared" si="32"/>
        <v>0.9900990099</v>
      </c>
      <c r="N47" s="65"/>
      <c r="O47" s="65"/>
      <c r="P47" s="69" t="s">
        <v>113</v>
      </c>
      <c r="Q47" s="65">
        <f>AVERAGE(Q37:Q41)</f>
        <v>1.964578973</v>
      </c>
      <c r="R47" s="65">
        <f>AVERAGE(R36:R40)</f>
        <v>1.119577259</v>
      </c>
      <c r="S47" s="65">
        <f>AVERAGE(S35:S39)</f>
        <v>1.052076894</v>
      </c>
      <c r="T47" s="65">
        <f>AVERAGE(T34:T38)</f>
        <v>1.0184</v>
      </c>
      <c r="U47" s="65">
        <f>AVERAGE(U33:U37)</f>
        <v>1.0096</v>
      </c>
      <c r="V47" s="65">
        <f>AVERAGE(V32:V36)</f>
        <v>1.0044</v>
      </c>
      <c r="W47" s="65">
        <f>AVERAGE(W31:W35)</f>
        <v>1.0046</v>
      </c>
      <c r="X47" s="65">
        <f>AVERAGE(X30:X34)</f>
        <v>1.024300263</v>
      </c>
      <c r="Y47" s="70">
        <f t="shared" ref="Y47:AB47" si="33">Y$48</f>
        <v>1.022697003</v>
      </c>
      <c r="Z47" s="70">
        <f t="shared" si="33"/>
        <v>1.020445496</v>
      </c>
      <c r="AA47" s="70">
        <f t="shared" si="33"/>
        <v>1.021877454</v>
      </c>
      <c r="AB47" s="70">
        <f t="shared" si="33"/>
        <v>1.024949069</v>
      </c>
      <c r="AC47" s="65"/>
    </row>
    <row r="48" ht="12.75" customHeight="1">
      <c r="A48" s="8" t="s">
        <v>114</v>
      </c>
      <c r="B48" s="65">
        <f t="shared" ref="B48:M48" si="34">AVERAGE(B30:B42)</f>
        <v>1.2860574</v>
      </c>
      <c r="C48" s="65">
        <f t="shared" si="34"/>
        <v>1.021573705</v>
      </c>
      <c r="D48" s="65">
        <f t="shared" si="34"/>
        <v>0.9877483821</v>
      </c>
      <c r="E48" s="65">
        <f t="shared" si="34"/>
        <v>0.985</v>
      </c>
      <c r="F48" s="65">
        <f t="shared" si="34"/>
        <v>0.9908499654</v>
      </c>
      <c r="G48" s="65">
        <f t="shared" si="34"/>
        <v>0.986</v>
      </c>
      <c r="H48" s="65">
        <f t="shared" si="34"/>
        <v>1.0006</v>
      </c>
      <c r="I48" s="65">
        <f t="shared" si="34"/>
        <v>1.035269064</v>
      </c>
      <c r="J48" s="65">
        <f t="shared" si="34"/>
        <v>1.02489086</v>
      </c>
      <c r="K48" s="65">
        <f t="shared" si="34"/>
        <v>1.005128732</v>
      </c>
      <c r="L48" s="65">
        <f t="shared" si="34"/>
        <v>1.005723988</v>
      </c>
      <c r="M48" s="65">
        <f t="shared" si="34"/>
        <v>0.9900990099</v>
      </c>
      <c r="N48" s="65"/>
      <c r="O48" s="65"/>
      <c r="P48" s="8" t="s">
        <v>114</v>
      </c>
      <c r="Q48" s="65">
        <f t="shared" ref="Q48:AB48" si="35">AVERAGE(Q30:Q42)</f>
        <v>1.964578973</v>
      </c>
      <c r="R48" s="65">
        <f t="shared" si="35"/>
        <v>1.119577259</v>
      </c>
      <c r="S48" s="65">
        <f t="shared" si="35"/>
        <v>1.052076894</v>
      </c>
      <c r="T48" s="65">
        <f t="shared" si="35"/>
        <v>1.0184</v>
      </c>
      <c r="U48" s="65">
        <f t="shared" si="35"/>
        <v>1.0096</v>
      </c>
      <c r="V48" s="65">
        <f t="shared" si="35"/>
        <v>1.0044</v>
      </c>
      <c r="W48" s="65">
        <f t="shared" si="35"/>
        <v>1.0046</v>
      </c>
      <c r="X48" s="65">
        <f t="shared" si="35"/>
        <v>1.024300263</v>
      </c>
      <c r="Y48" s="65">
        <f t="shared" si="35"/>
        <v>1.022697003</v>
      </c>
      <c r="Z48" s="65">
        <f t="shared" si="35"/>
        <v>1.020445496</v>
      </c>
      <c r="AA48" s="65">
        <f t="shared" si="35"/>
        <v>1.021877454</v>
      </c>
      <c r="AB48" s="65">
        <f t="shared" si="35"/>
        <v>1.024949069</v>
      </c>
      <c r="AC48" s="65"/>
    </row>
    <row r="49" ht="12.75" customHeight="1">
      <c r="A49" s="71" t="s">
        <v>76</v>
      </c>
      <c r="B49" s="72">
        <v>1.0</v>
      </c>
      <c r="C49" s="72">
        <v>1.0</v>
      </c>
      <c r="D49" s="72">
        <v>1.0</v>
      </c>
      <c r="E49" s="72">
        <v>1.0</v>
      </c>
      <c r="F49" s="72">
        <v>1.0</v>
      </c>
      <c r="G49" s="72">
        <v>1.0</v>
      </c>
      <c r="H49" s="72">
        <v>1.0</v>
      </c>
      <c r="I49" s="72">
        <v>1.0</v>
      </c>
      <c r="J49" s="72">
        <v>1.0</v>
      </c>
      <c r="K49" s="72">
        <v>1.0</v>
      </c>
      <c r="L49" s="72">
        <v>1.0</v>
      </c>
      <c r="M49" s="72">
        <v>1.0</v>
      </c>
      <c r="N49" s="73">
        <v>1.0</v>
      </c>
      <c r="O49" s="65"/>
      <c r="P49" s="71" t="s">
        <v>76</v>
      </c>
      <c r="Q49" s="72">
        <v>1.0</v>
      </c>
      <c r="R49" s="72">
        <v>1.0</v>
      </c>
      <c r="S49" s="72">
        <v>1.0</v>
      </c>
      <c r="T49" s="72">
        <v>1.0</v>
      </c>
      <c r="U49" s="72">
        <v>1.0</v>
      </c>
      <c r="V49" s="72">
        <v>1.0</v>
      </c>
      <c r="W49" s="72">
        <v>1.0</v>
      </c>
      <c r="X49" s="72">
        <v>1.0</v>
      </c>
      <c r="Y49" s="72">
        <v>1.0</v>
      </c>
      <c r="Z49" s="72">
        <v>1.0</v>
      </c>
      <c r="AA49" s="72">
        <v>1.0</v>
      </c>
      <c r="AB49" s="72">
        <v>1.0</v>
      </c>
      <c r="AC49" s="73">
        <v>1.0</v>
      </c>
    </row>
    <row r="50" ht="12.75" customHeight="1">
      <c r="B50" s="65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Q50" s="65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ht="12.75" customHeight="1">
      <c r="A51" s="74" t="s">
        <v>115</v>
      </c>
      <c r="B51" s="65" t="s">
        <v>101</v>
      </c>
      <c r="C51" s="65" t="s">
        <v>101</v>
      </c>
      <c r="D51" s="65" t="s">
        <v>101</v>
      </c>
      <c r="E51" s="65" t="s">
        <v>101</v>
      </c>
      <c r="F51" s="65" t="s">
        <v>101</v>
      </c>
      <c r="G51" s="65" t="s">
        <v>101</v>
      </c>
      <c r="H51" s="65" t="s">
        <v>101</v>
      </c>
      <c r="I51" s="65" t="s">
        <v>101</v>
      </c>
      <c r="J51" s="65" t="s">
        <v>101</v>
      </c>
      <c r="K51" s="65" t="s">
        <v>101</v>
      </c>
      <c r="L51" s="65" t="s">
        <v>101</v>
      </c>
      <c r="M51" s="65" t="s">
        <v>101</v>
      </c>
      <c r="N51" s="65" t="s">
        <v>101</v>
      </c>
      <c r="O51" s="65"/>
      <c r="P51" s="74" t="s">
        <v>115</v>
      </c>
      <c r="Q51" s="65" t="s">
        <v>101</v>
      </c>
      <c r="R51" s="65" t="s">
        <v>101</v>
      </c>
      <c r="S51" s="65" t="s">
        <v>101</v>
      </c>
      <c r="T51" s="65" t="s">
        <v>101</v>
      </c>
      <c r="U51" s="65" t="s">
        <v>101</v>
      </c>
      <c r="V51" s="65" t="s">
        <v>101</v>
      </c>
      <c r="W51" s="65" t="s">
        <v>101</v>
      </c>
      <c r="X51" s="65" t="s">
        <v>101</v>
      </c>
      <c r="Y51" s="65" t="s">
        <v>101</v>
      </c>
      <c r="Z51" s="65" t="s">
        <v>101</v>
      </c>
      <c r="AA51" s="65" t="s">
        <v>101</v>
      </c>
      <c r="AB51" s="65" t="s">
        <v>101</v>
      </c>
      <c r="AC51" s="65" t="s">
        <v>101</v>
      </c>
    </row>
    <row r="52" ht="12.75" customHeight="1">
      <c r="A52" s="69" t="str">
        <f t="shared" ref="A52:A56" si="38">A44</f>
        <v>2 Year</v>
      </c>
      <c r="B52" s="65">
        <f t="shared" ref="B52:M52" si="36">C52*B44</f>
        <v>1.334334802</v>
      </c>
      <c r="C52" s="65">
        <f t="shared" si="36"/>
        <v>1.040011537</v>
      </c>
      <c r="D52" s="65">
        <f t="shared" si="36"/>
        <v>0.9986338797</v>
      </c>
      <c r="E52" s="65">
        <f t="shared" si="36"/>
        <v>1.023325752</v>
      </c>
      <c r="F52" s="65">
        <f t="shared" si="36"/>
        <v>1.038382296</v>
      </c>
      <c r="G52" s="65">
        <f t="shared" si="36"/>
        <v>1.048209349</v>
      </c>
      <c r="H52" s="65">
        <f t="shared" si="36"/>
        <v>1.062553826</v>
      </c>
      <c r="I52" s="65">
        <f t="shared" si="36"/>
        <v>1.065751079</v>
      </c>
      <c r="J52" s="65">
        <f t="shared" si="36"/>
        <v>1.041352275</v>
      </c>
      <c r="K52" s="65">
        <f t="shared" si="36"/>
        <v>1.00884002</v>
      </c>
      <c r="L52" s="65">
        <f t="shared" si="36"/>
        <v>0.9957663247</v>
      </c>
      <c r="M52" s="65">
        <f t="shared" si="36"/>
        <v>0.9900990099</v>
      </c>
      <c r="N52" s="75">
        <v>1.0</v>
      </c>
      <c r="O52" s="65"/>
      <c r="P52" s="69" t="str">
        <f t="shared" ref="P52:P56" si="40">P44</f>
        <v>2 Year</v>
      </c>
      <c r="Q52" s="65">
        <f t="shared" ref="Q52:AB52" si="37">R52*Q44</f>
        <v>2.699778272</v>
      </c>
      <c r="R52" s="65">
        <f t="shared" si="37"/>
        <v>1.382728949</v>
      </c>
      <c r="S52" s="65">
        <f t="shared" si="37"/>
        <v>1.230248125</v>
      </c>
      <c r="T52" s="65">
        <f t="shared" si="37"/>
        <v>1.154412208</v>
      </c>
      <c r="U52" s="65">
        <f t="shared" si="37"/>
        <v>1.135673594</v>
      </c>
      <c r="V52" s="65">
        <f t="shared" si="37"/>
        <v>1.127219448</v>
      </c>
      <c r="W52" s="65">
        <f t="shared" si="37"/>
        <v>1.122728534</v>
      </c>
      <c r="X52" s="65">
        <f t="shared" si="37"/>
        <v>1.11881269</v>
      </c>
      <c r="Y52" s="65">
        <f t="shared" si="37"/>
        <v>1.101315956</v>
      </c>
      <c r="Z52" s="65">
        <f t="shared" si="37"/>
        <v>1.074044142</v>
      </c>
      <c r="AA52" s="65">
        <f t="shared" si="37"/>
        <v>1.047372345</v>
      </c>
      <c r="AB52" s="65">
        <f t="shared" si="37"/>
        <v>1.024949069</v>
      </c>
      <c r="AC52" s="75">
        <v>1.0</v>
      </c>
    </row>
    <row r="53" ht="12.75" customHeight="1">
      <c r="A53" s="69" t="str">
        <f t="shared" si="38"/>
        <v>3 Year</v>
      </c>
      <c r="B53" s="65">
        <f t="shared" ref="B53:M53" si="39">C53*B45</f>
        <v>1.338294336</v>
      </c>
      <c r="C53" s="65">
        <f t="shared" si="39"/>
        <v>1.022044217</v>
      </c>
      <c r="D53" s="65">
        <f t="shared" si="39"/>
        <v>0.9929608816</v>
      </c>
      <c r="E53" s="65">
        <f t="shared" si="39"/>
        <v>1.012625422</v>
      </c>
      <c r="F53" s="65">
        <f t="shared" si="39"/>
        <v>1.028046114</v>
      </c>
      <c r="G53" s="65">
        <f t="shared" si="39"/>
        <v>1.037993613</v>
      </c>
      <c r="H53" s="65">
        <f t="shared" si="39"/>
        <v>1.053444127</v>
      </c>
      <c r="I53" s="65">
        <f t="shared" si="39"/>
        <v>1.051691308</v>
      </c>
      <c r="J53" s="65">
        <f t="shared" si="39"/>
        <v>1.021562331</v>
      </c>
      <c r="K53" s="65">
        <f t="shared" si="39"/>
        <v>1.000873344</v>
      </c>
      <c r="L53" s="65">
        <f t="shared" si="39"/>
        <v>0.9957663247</v>
      </c>
      <c r="M53" s="65">
        <f t="shared" si="39"/>
        <v>0.9900990099</v>
      </c>
      <c r="N53" s="75">
        <v>1.0</v>
      </c>
      <c r="O53" s="65"/>
      <c r="P53" s="69" t="str">
        <f t="shared" si="40"/>
        <v>3 Year</v>
      </c>
      <c r="Q53" s="65">
        <f t="shared" ref="Q53:AB53" si="41">R53*Q45</f>
        <v>2.692162209</v>
      </c>
      <c r="R53" s="65">
        <f t="shared" si="41"/>
        <v>1.356732617</v>
      </c>
      <c r="S53" s="65">
        <f t="shared" si="41"/>
        <v>1.210688731</v>
      </c>
      <c r="T53" s="65">
        <f t="shared" si="41"/>
        <v>1.144901014</v>
      </c>
      <c r="U53" s="65">
        <f t="shared" si="41"/>
        <v>1.126501489</v>
      </c>
      <c r="V53" s="65">
        <f t="shared" si="41"/>
        <v>1.117930687</v>
      </c>
      <c r="W53" s="65">
        <f t="shared" si="41"/>
        <v>1.113846583</v>
      </c>
      <c r="X53" s="65">
        <f t="shared" si="41"/>
        <v>1.108305058</v>
      </c>
      <c r="Y53" s="65">
        <f t="shared" si="41"/>
        <v>1.088095196</v>
      </c>
      <c r="Z53" s="65">
        <f t="shared" si="41"/>
        <v>1.068786392</v>
      </c>
      <c r="AA53" s="65">
        <f t="shared" si="41"/>
        <v>1.047372345</v>
      </c>
      <c r="AB53" s="65">
        <f t="shared" si="41"/>
        <v>1.024949069</v>
      </c>
      <c r="AC53" s="75">
        <v>1.0</v>
      </c>
    </row>
    <row r="54" ht="12.75" customHeight="1">
      <c r="A54" s="69" t="str">
        <f t="shared" si="38"/>
        <v>4 Year</v>
      </c>
      <c r="B54" s="65">
        <f t="shared" ref="B54:M54" si="42">C54*B46</f>
        <v>1.333020794</v>
      </c>
      <c r="C54" s="65">
        <f t="shared" si="42"/>
        <v>1.027121633</v>
      </c>
      <c r="D54" s="65">
        <f t="shared" si="42"/>
        <v>1.000393976</v>
      </c>
      <c r="E54" s="65">
        <f t="shared" si="42"/>
        <v>1.014407531</v>
      </c>
      <c r="F54" s="65">
        <f t="shared" si="42"/>
        <v>1.030116813</v>
      </c>
      <c r="G54" s="65">
        <f t="shared" si="42"/>
        <v>1.040456393</v>
      </c>
      <c r="H54" s="65">
        <f t="shared" si="42"/>
        <v>1.056032878</v>
      </c>
      <c r="I54" s="65">
        <f t="shared" si="42"/>
        <v>1.056296953</v>
      </c>
      <c r="J54" s="65">
        <f t="shared" si="42"/>
        <v>1.025785942</v>
      </c>
      <c r="K54" s="65">
        <f t="shared" si="42"/>
        <v>1.000873344</v>
      </c>
      <c r="L54" s="65">
        <f t="shared" si="42"/>
        <v>0.9957663247</v>
      </c>
      <c r="M54" s="65">
        <f t="shared" si="42"/>
        <v>0.9900990099</v>
      </c>
      <c r="N54" s="75">
        <v>1.0</v>
      </c>
      <c r="O54" s="65"/>
      <c r="P54" s="69" t="str">
        <f t="shared" si="40"/>
        <v>4 Year</v>
      </c>
      <c r="Q54" s="65">
        <f t="shared" ref="Q54:AB54" si="43">R54*Q46</f>
        <v>2.687626135</v>
      </c>
      <c r="R54" s="65">
        <f t="shared" si="43"/>
        <v>1.35912104</v>
      </c>
      <c r="S54" s="65">
        <f t="shared" si="43"/>
        <v>1.213531729</v>
      </c>
      <c r="T54" s="65">
        <f t="shared" si="43"/>
        <v>1.152620226</v>
      </c>
      <c r="U54" s="65">
        <f t="shared" si="43"/>
        <v>1.132796291</v>
      </c>
      <c r="V54" s="65">
        <f t="shared" si="43"/>
        <v>1.123805844</v>
      </c>
      <c r="W54" s="65">
        <f t="shared" si="43"/>
        <v>1.119049882</v>
      </c>
      <c r="X54" s="65">
        <f t="shared" si="43"/>
        <v>1.11348247</v>
      </c>
      <c r="Y54" s="65">
        <f t="shared" si="43"/>
        <v>1.09304464</v>
      </c>
      <c r="Z54" s="65">
        <f t="shared" si="43"/>
        <v>1.068786392</v>
      </c>
      <c r="AA54" s="65">
        <f t="shared" si="43"/>
        <v>1.047372345</v>
      </c>
      <c r="AB54" s="65">
        <f t="shared" si="43"/>
        <v>1.024949069</v>
      </c>
      <c r="AC54" s="75">
        <v>1.0</v>
      </c>
    </row>
    <row r="55" ht="12.75" customHeight="1">
      <c r="A55" s="69" t="str">
        <f t="shared" si="38"/>
        <v>5 Year</v>
      </c>
      <c r="B55" s="65">
        <f t="shared" ref="B55:M55" si="44">C55*B47</f>
        <v>1.326990785</v>
      </c>
      <c r="C55" s="65">
        <f t="shared" si="44"/>
        <v>1.031828584</v>
      </c>
      <c r="D55" s="65">
        <f t="shared" si="44"/>
        <v>1.010038315</v>
      </c>
      <c r="E55" s="65">
        <f t="shared" si="44"/>
        <v>1.022566408</v>
      </c>
      <c r="F55" s="65">
        <f t="shared" si="44"/>
        <v>1.038138486</v>
      </c>
      <c r="G55" s="65">
        <f t="shared" si="44"/>
        <v>1.047725208</v>
      </c>
      <c r="H55" s="65">
        <f t="shared" si="44"/>
        <v>1.06260163</v>
      </c>
      <c r="I55" s="65">
        <f t="shared" si="44"/>
        <v>1.061964452</v>
      </c>
      <c r="J55" s="65">
        <f t="shared" si="44"/>
        <v>1.025785942</v>
      </c>
      <c r="K55" s="65">
        <f t="shared" si="44"/>
        <v>1.000873344</v>
      </c>
      <c r="L55" s="65">
        <f t="shared" si="44"/>
        <v>0.9957663247</v>
      </c>
      <c r="M55" s="65">
        <f t="shared" si="44"/>
        <v>0.9900990099</v>
      </c>
      <c r="N55" s="75">
        <v>1.0</v>
      </c>
      <c r="O55" s="65"/>
      <c r="P55" s="69" t="str">
        <f t="shared" si="40"/>
        <v>5 Year</v>
      </c>
      <c r="Q55" s="65">
        <f t="shared" ref="Q55:AB55" si="45">R55*Q47</f>
        <v>2.687842619</v>
      </c>
      <c r="R55" s="65">
        <f t="shared" si="45"/>
        <v>1.368151983</v>
      </c>
      <c r="S55" s="65">
        <f t="shared" si="45"/>
        <v>1.222025522</v>
      </c>
      <c r="T55" s="65">
        <f t="shared" si="45"/>
        <v>1.161536318</v>
      </c>
      <c r="U55" s="65">
        <f t="shared" si="45"/>
        <v>1.140550195</v>
      </c>
      <c r="V55" s="65">
        <f t="shared" si="45"/>
        <v>1.129705027</v>
      </c>
      <c r="W55" s="65">
        <f t="shared" si="45"/>
        <v>1.1247561</v>
      </c>
      <c r="X55" s="65">
        <f t="shared" si="45"/>
        <v>1.119605913</v>
      </c>
      <c r="Y55" s="65">
        <f t="shared" si="45"/>
        <v>1.09304464</v>
      </c>
      <c r="Z55" s="65">
        <f t="shared" si="45"/>
        <v>1.068786392</v>
      </c>
      <c r="AA55" s="65">
        <f t="shared" si="45"/>
        <v>1.047372345</v>
      </c>
      <c r="AB55" s="65">
        <f t="shared" si="45"/>
        <v>1.024949069</v>
      </c>
      <c r="AC55" s="75">
        <v>1.0</v>
      </c>
    </row>
    <row r="56" ht="12.75" customHeight="1">
      <c r="A56" s="69" t="str">
        <f t="shared" si="38"/>
        <v>All Year</v>
      </c>
      <c r="B56" s="65">
        <f t="shared" ref="B56:M56" si="46">C56*B48</f>
        <v>1.326990785</v>
      </c>
      <c r="C56" s="65">
        <f t="shared" si="46"/>
        <v>1.031828584</v>
      </c>
      <c r="D56" s="65">
        <f t="shared" si="46"/>
        <v>1.010038315</v>
      </c>
      <c r="E56" s="65">
        <f t="shared" si="46"/>
        <v>1.022566408</v>
      </c>
      <c r="F56" s="65">
        <f t="shared" si="46"/>
        <v>1.038138486</v>
      </c>
      <c r="G56" s="65">
        <f t="shared" si="46"/>
        <v>1.047725208</v>
      </c>
      <c r="H56" s="65">
        <f t="shared" si="46"/>
        <v>1.06260163</v>
      </c>
      <c r="I56" s="65">
        <f t="shared" si="46"/>
        <v>1.061964452</v>
      </c>
      <c r="J56" s="65">
        <f t="shared" si="46"/>
        <v>1.025785942</v>
      </c>
      <c r="K56" s="65">
        <f t="shared" si="46"/>
        <v>1.000873344</v>
      </c>
      <c r="L56" s="65">
        <f t="shared" si="46"/>
        <v>0.9957663247</v>
      </c>
      <c r="M56" s="65">
        <f t="shared" si="46"/>
        <v>0.9900990099</v>
      </c>
      <c r="N56" s="75">
        <v>1.0</v>
      </c>
      <c r="O56" s="65"/>
      <c r="P56" s="69" t="str">
        <f t="shared" si="40"/>
        <v>All Year</v>
      </c>
      <c r="Q56" s="65">
        <f t="shared" ref="Q56:AB56" si="47">R56*Q48</f>
        <v>2.687842619</v>
      </c>
      <c r="R56" s="65">
        <f t="shared" si="47"/>
        <v>1.368151983</v>
      </c>
      <c r="S56" s="65">
        <f t="shared" si="47"/>
        <v>1.222025522</v>
      </c>
      <c r="T56" s="65">
        <f t="shared" si="47"/>
        <v>1.161536318</v>
      </c>
      <c r="U56" s="65">
        <f t="shared" si="47"/>
        <v>1.140550195</v>
      </c>
      <c r="V56" s="65">
        <f t="shared" si="47"/>
        <v>1.129705027</v>
      </c>
      <c r="W56" s="65">
        <f t="shared" si="47"/>
        <v>1.1247561</v>
      </c>
      <c r="X56" s="65">
        <f t="shared" si="47"/>
        <v>1.119605913</v>
      </c>
      <c r="Y56" s="65">
        <f t="shared" si="47"/>
        <v>1.09304464</v>
      </c>
      <c r="Z56" s="65">
        <f t="shared" si="47"/>
        <v>1.068786392</v>
      </c>
      <c r="AA56" s="65">
        <f t="shared" si="47"/>
        <v>1.047372345</v>
      </c>
      <c r="AB56" s="65">
        <f t="shared" si="47"/>
        <v>1.024949069</v>
      </c>
      <c r="AC56" s="75">
        <v>1.0</v>
      </c>
    </row>
    <row r="57" ht="12.75" customHeight="1">
      <c r="A57" s="71" t="s">
        <v>76</v>
      </c>
      <c r="B57" s="72">
        <f t="shared" ref="B57:M57" si="48">B49*C57</f>
        <v>1</v>
      </c>
      <c r="C57" s="72">
        <f t="shared" si="48"/>
        <v>1</v>
      </c>
      <c r="D57" s="72">
        <f t="shared" si="48"/>
        <v>1</v>
      </c>
      <c r="E57" s="72">
        <f t="shared" si="48"/>
        <v>1</v>
      </c>
      <c r="F57" s="72">
        <f t="shared" si="48"/>
        <v>1</v>
      </c>
      <c r="G57" s="72">
        <f t="shared" si="48"/>
        <v>1</v>
      </c>
      <c r="H57" s="72">
        <f t="shared" si="48"/>
        <v>1</v>
      </c>
      <c r="I57" s="72">
        <f t="shared" si="48"/>
        <v>1</v>
      </c>
      <c r="J57" s="72">
        <f t="shared" si="48"/>
        <v>1</v>
      </c>
      <c r="K57" s="72">
        <f t="shared" si="48"/>
        <v>1</v>
      </c>
      <c r="L57" s="72">
        <f t="shared" si="48"/>
        <v>1</v>
      </c>
      <c r="M57" s="72">
        <f t="shared" si="48"/>
        <v>1</v>
      </c>
      <c r="N57" s="73">
        <f>N49</f>
        <v>1</v>
      </c>
      <c r="P57" s="71" t="s">
        <v>76</v>
      </c>
      <c r="Q57" s="72">
        <f t="shared" ref="Q57:AB57" si="49">Q49*R57</f>
        <v>1</v>
      </c>
      <c r="R57" s="72">
        <f t="shared" si="49"/>
        <v>1</v>
      </c>
      <c r="S57" s="72">
        <f t="shared" si="49"/>
        <v>1</v>
      </c>
      <c r="T57" s="72">
        <f t="shared" si="49"/>
        <v>1</v>
      </c>
      <c r="U57" s="72">
        <f t="shared" si="49"/>
        <v>1</v>
      </c>
      <c r="V57" s="72">
        <f t="shared" si="49"/>
        <v>1</v>
      </c>
      <c r="W57" s="72">
        <f t="shared" si="49"/>
        <v>1</v>
      </c>
      <c r="X57" s="72">
        <f t="shared" si="49"/>
        <v>1</v>
      </c>
      <c r="Y57" s="72">
        <f t="shared" si="49"/>
        <v>1</v>
      </c>
      <c r="Z57" s="72">
        <f t="shared" si="49"/>
        <v>1</v>
      </c>
      <c r="AA57" s="72">
        <f t="shared" si="49"/>
        <v>1</v>
      </c>
      <c r="AB57" s="72">
        <f t="shared" si="49"/>
        <v>1</v>
      </c>
      <c r="AC57" s="73">
        <f>AC49</f>
        <v>1</v>
      </c>
    </row>
    <row r="58" ht="12.75" customHeight="1"/>
    <row r="59" ht="12.75" customHeight="1"/>
    <row r="60" ht="12.75" customHeight="1"/>
    <row r="61" ht="12.75" customHeight="1">
      <c r="A61" s="61" t="s">
        <v>101</v>
      </c>
      <c r="B61" s="62" t="s">
        <v>105</v>
      </c>
      <c r="O61" s="62"/>
      <c r="P61" s="61" t="s">
        <v>101</v>
      </c>
      <c r="Q61" s="62" t="s">
        <v>106</v>
      </c>
    </row>
    <row r="62" ht="12.75" customHeight="1">
      <c r="A62" s="30" t="s">
        <v>101</v>
      </c>
      <c r="B62" s="62" t="s">
        <v>107</v>
      </c>
      <c r="O62" s="62"/>
      <c r="P62" s="30" t="s">
        <v>101</v>
      </c>
      <c r="Q62" s="62" t="s">
        <v>107</v>
      </c>
    </row>
    <row r="63" ht="12.75" customHeight="1">
      <c r="B63" s="30">
        <v>12.0</v>
      </c>
      <c r="C63" s="30">
        <v>24.0</v>
      </c>
      <c r="D63" s="30">
        <v>36.0</v>
      </c>
      <c r="E63" s="30">
        <v>48.0</v>
      </c>
      <c r="F63" s="30">
        <v>60.0</v>
      </c>
      <c r="G63" s="30">
        <v>72.0</v>
      </c>
      <c r="H63" s="30">
        <v>84.0</v>
      </c>
      <c r="I63" s="30">
        <v>96.0</v>
      </c>
      <c r="J63" s="30">
        <v>108.0</v>
      </c>
      <c r="K63" s="30">
        <v>120.0</v>
      </c>
      <c r="L63" s="30">
        <v>132.0</v>
      </c>
      <c r="M63" s="30">
        <v>144.0</v>
      </c>
      <c r="N63" s="30">
        <v>156.0</v>
      </c>
      <c r="Q63" s="30">
        <v>12.0</v>
      </c>
      <c r="R63" s="30">
        <v>24.0</v>
      </c>
      <c r="S63" s="30">
        <v>36.0</v>
      </c>
      <c r="T63" s="30">
        <v>48.0</v>
      </c>
      <c r="U63" s="30">
        <v>60.0</v>
      </c>
      <c r="V63" s="30">
        <v>72.0</v>
      </c>
      <c r="W63" s="30">
        <v>84.0</v>
      </c>
      <c r="X63" s="30">
        <v>96.0</v>
      </c>
      <c r="Y63" s="30">
        <v>108.0</v>
      </c>
      <c r="Z63" s="30">
        <v>120.0</v>
      </c>
      <c r="AA63" s="30">
        <v>132.0</v>
      </c>
      <c r="AB63" s="30">
        <v>144.0</v>
      </c>
      <c r="AC63" s="30">
        <v>156.0</v>
      </c>
    </row>
    <row r="64" ht="12.75" customHeight="1">
      <c r="A64" s="30" t="s">
        <v>116</v>
      </c>
      <c r="B64" s="30" t="s">
        <v>108</v>
      </c>
      <c r="C64" s="30" t="s">
        <v>108</v>
      </c>
      <c r="D64" s="30" t="s">
        <v>108</v>
      </c>
      <c r="E64" s="30" t="s">
        <v>108</v>
      </c>
      <c r="F64" s="30" t="s">
        <v>108</v>
      </c>
      <c r="G64" s="30" t="s">
        <v>108</v>
      </c>
      <c r="H64" s="30" t="s">
        <v>108</v>
      </c>
      <c r="I64" s="30" t="s">
        <v>108</v>
      </c>
      <c r="J64" s="30" t="s">
        <v>108</v>
      </c>
      <c r="K64" s="30" t="s">
        <v>108</v>
      </c>
      <c r="L64" s="30" t="s">
        <v>108</v>
      </c>
      <c r="M64" s="30" t="s">
        <v>108</v>
      </c>
      <c r="N64" s="30" t="s">
        <v>108</v>
      </c>
      <c r="P64" s="30" t="s">
        <v>116</v>
      </c>
      <c r="Q64" s="30" t="s">
        <v>108</v>
      </c>
      <c r="R64" s="30" t="s">
        <v>108</v>
      </c>
      <c r="S64" s="30" t="s">
        <v>108</v>
      </c>
      <c r="T64" s="30" t="s">
        <v>108</v>
      </c>
      <c r="U64" s="30" t="s">
        <v>108</v>
      </c>
      <c r="V64" s="30" t="s">
        <v>108</v>
      </c>
      <c r="W64" s="30" t="s">
        <v>108</v>
      </c>
      <c r="X64" s="30" t="s">
        <v>108</v>
      </c>
      <c r="Y64" s="30" t="s">
        <v>108</v>
      </c>
      <c r="Z64" s="30" t="s">
        <v>108</v>
      </c>
      <c r="AA64" s="30" t="s">
        <v>108</v>
      </c>
      <c r="AB64" s="30" t="s">
        <v>108</v>
      </c>
      <c r="AC64" s="30" t="s">
        <v>108</v>
      </c>
    </row>
    <row r="65" ht="12.75" customHeight="1">
      <c r="A65" s="63" t="s">
        <v>84</v>
      </c>
      <c r="B65" s="67">
        <v>24.0</v>
      </c>
      <c r="C65" s="67">
        <v>36.0</v>
      </c>
      <c r="D65" s="67">
        <v>48.0</v>
      </c>
      <c r="E65" s="67">
        <v>60.0</v>
      </c>
      <c r="F65" s="67">
        <v>72.0</v>
      </c>
      <c r="G65" s="67">
        <v>84.0</v>
      </c>
      <c r="H65" s="67">
        <v>96.0</v>
      </c>
      <c r="I65" s="67">
        <v>108.0</v>
      </c>
      <c r="J65" s="67">
        <v>120.0</v>
      </c>
      <c r="K65" s="67">
        <v>132.0</v>
      </c>
      <c r="L65" s="67">
        <v>144.0</v>
      </c>
      <c r="M65" s="67">
        <v>156.0</v>
      </c>
      <c r="N65" s="67" t="s">
        <v>77</v>
      </c>
      <c r="P65" s="63" t="s">
        <v>84</v>
      </c>
      <c r="Q65" s="67">
        <v>24.0</v>
      </c>
      <c r="R65" s="67">
        <v>36.0</v>
      </c>
      <c r="S65" s="67">
        <v>48.0</v>
      </c>
      <c r="T65" s="67">
        <v>60.0</v>
      </c>
      <c r="U65" s="67">
        <v>72.0</v>
      </c>
      <c r="V65" s="67">
        <v>84.0</v>
      </c>
      <c r="W65" s="67">
        <v>96.0</v>
      </c>
      <c r="X65" s="67">
        <v>108.0</v>
      </c>
      <c r="Y65" s="67">
        <v>120.0</v>
      </c>
      <c r="Z65" s="67">
        <v>132.0</v>
      </c>
      <c r="AA65" s="67">
        <v>144.0</v>
      </c>
      <c r="AB65" s="67">
        <v>156.0</v>
      </c>
      <c r="AC65" s="67" t="s">
        <v>77</v>
      </c>
    </row>
    <row r="66" ht="12.75" customHeight="1">
      <c r="A66" s="63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P66" s="63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</row>
    <row r="67" ht="12.75" customHeight="1">
      <c r="A67" s="30">
        <f t="shared" ref="A67:A71" si="52">A15</f>
        <v>2010</v>
      </c>
      <c r="B67" s="76">
        <f t="shared" ref="B67:I67" si="50">OFFSET(B37,($B$63-B$63)/12,0)</f>
        <v>1.239</v>
      </c>
      <c r="C67" s="76">
        <f t="shared" si="50"/>
        <v>1.001</v>
      </c>
      <c r="D67" s="76">
        <f t="shared" si="50"/>
        <v>0.994</v>
      </c>
      <c r="E67" s="76">
        <f t="shared" si="50"/>
        <v>0.986</v>
      </c>
      <c r="F67" s="76">
        <f t="shared" si="50"/>
        <v>0.994</v>
      </c>
      <c r="G67" s="76">
        <f t="shared" si="50"/>
        <v>0.989</v>
      </c>
      <c r="H67" s="76">
        <f t="shared" si="50"/>
        <v>1.004</v>
      </c>
      <c r="I67" s="76">
        <f t="shared" si="50"/>
        <v>1.057369188</v>
      </c>
      <c r="J67" s="76"/>
      <c r="K67" s="76"/>
      <c r="L67" s="76"/>
      <c r="M67" s="76"/>
      <c r="P67" s="30">
        <f t="shared" ref="P67:P71" si="54">P15</f>
        <v>2010</v>
      </c>
      <c r="Q67" s="76">
        <f t="shared" ref="Q67:X67" si="51">OFFSET(Q37,($B$63-Q$63)/12,0)</f>
        <v>1.913</v>
      </c>
      <c r="R67" s="76">
        <f t="shared" si="51"/>
        <v>1.118</v>
      </c>
      <c r="S67" s="76">
        <f t="shared" si="51"/>
        <v>1.049</v>
      </c>
      <c r="T67" s="76">
        <f t="shared" si="51"/>
        <v>1.022</v>
      </c>
      <c r="U67" s="76">
        <f t="shared" si="51"/>
        <v>1.016</v>
      </c>
      <c r="V67" s="76">
        <f t="shared" si="51"/>
        <v>1.005</v>
      </c>
      <c r="W67" s="76">
        <f t="shared" si="51"/>
        <v>1.003</v>
      </c>
      <c r="X67" s="76">
        <f t="shared" si="51"/>
        <v>1.039171519</v>
      </c>
      <c r="Y67" s="76"/>
      <c r="Z67" s="76"/>
      <c r="AA67" s="76"/>
      <c r="AB67" s="76"/>
    </row>
    <row r="68" ht="12.75" customHeight="1">
      <c r="A68" s="30">
        <f t="shared" si="52"/>
        <v>2011</v>
      </c>
      <c r="B68" s="76">
        <f t="shared" ref="B68:J68" si="53">OFFSET(B38,($B$63-B$63)/12,0)</f>
        <v>1.263</v>
      </c>
      <c r="C68" s="76">
        <f t="shared" si="53"/>
        <v>1.019</v>
      </c>
      <c r="D68" s="76">
        <f t="shared" si="53"/>
        <v>1.003</v>
      </c>
      <c r="E68" s="76">
        <f t="shared" si="53"/>
        <v>0.984</v>
      </c>
      <c r="F68" s="76">
        <f t="shared" si="53"/>
        <v>0.989</v>
      </c>
      <c r="G68" s="76">
        <f t="shared" si="53"/>
        <v>0.985</v>
      </c>
      <c r="H68" s="76">
        <f t="shared" si="53"/>
        <v>0.994</v>
      </c>
      <c r="I68" s="76">
        <f t="shared" si="53"/>
        <v>1.030497016</v>
      </c>
      <c r="J68" s="76">
        <f t="shared" si="53"/>
        <v>1.037550637</v>
      </c>
      <c r="K68" s="76"/>
      <c r="L68" s="76"/>
      <c r="M68" s="76"/>
      <c r="P68" s="30">
        <f t="shared" si="54"/>
        <v>2011</v>
      </c>
      <c r="Q68" s="76">
        <f t="shared" ref="Q68:Y68" si="55">OFFSET(Q38,($B$63-Q$63)/12,0)</f>
        <v>1.957</v>
      </c>
      <c r="R68" s="76">
        <f t="shared" si="55"/>
        <v>1.118</v>
      </c>
      <c r="S68" s="76">
        <f t="shared" si="55"/>
        <v>1.039</v>
      </c>
      <c r="T68" s="76">
        <f t="shared" si="55"/>
        <v>1.021</v>
      </c>
      <c r="U68" s="76">
        <f t="shared" si="55"/>
        <v>1.009</v>
      </c>
      <c r="V68" s="76">
        <f t="shared" si="55"/>
        <v>1.006</v>
      </c>
      <c r="W68" s="76">
        <f t="shared" si="55"/>
        <v>1.005</v>
      </c>
      <c r="X68" s="76">
        <f t="shared" si="55"/>
        <v>1.026235574</v>
      </c>
      <c r="Y68" s="76">
        <f t="shared" si="55"/>
        <v>1.036589706</v>
      </c>
      <c r="Z68" s="76"/>
      <c r="AA68" s="76"/>
      <c r="AB68" s="76"/>
    </row>
    <row r="69" ht="12.75" customHeight="1">
      <c r="A69" s="30">
        <f t="shared" si="52"/>
        <v>2012</v>
      </c>
      <c r="B69" s="76">
        <f t="shared" ref="B69:K69" si="56">OFFSET(B39,($B$63-B$63)/12,0)</f>
        <v>1.362286999</v>
      </c>
      <c r="C69" s="76">
        <f t="shared" si="56"/>
        <v>1.005</v>
      </c>
      <c r="D69" s="76">
        <f t="shared" si="56"/>
        <v>0.99</v>
      </c>
      <c r="E69" s="76">
        <f t="shared" si="56"/>
        <v>0.984</v>
      </c>
      <c r="F69" s="76">
        <f t="shared" si="56"/>
        <v>0.99</v>
      </c>
      <c r="G69" s="76">
        <f t="shared" si="56"/>
        <v>0.983</v>
      </c>
      <c r="H69" s="76">
        <f t="shared" si="56"/>
        <v>1.011</v>
      </c>
      <c r="I69" s="76">
        <f t="shared" si="56"/>
        <v>1.041619268</v>
      </c>
      <c r="J69" s="76">
        <f t="shared" si="56"/>
        <v>0.9975580735</v>
      </c>
      <c r="K69" s="76">
        <f t="shared" si="56"/>
        <v>0.9891276367</v>
      </c>
      <c r="L69" s="76"/>
      <c r="M69" s="76"/>
      <c r="P69" s="30">
        <f t="shared" si="54"/>
        <v>2012</v>
      </c>
      <c r="Q69" s="76">
        <f t="shared" ref="Q69:Z69" si="57">OFFSET(Q39,($B$63-Q$63)/12,0)</f>
        <v>2.047894866</v>
      </c>
      <c r="R69" s="76">
        <f t="shared" si="57"/>
        <v>1.114</v>
      </c>
      <c r="S69" s="76">
        <f t="shared" si="57"/>
        <v>1.041</v>
      </c>
      <c r="T69" s="76">
        <f t="shared" si="57"/>
        <v>1.016</v>
      </c>
      <c r="U69" s="76">
        <f t="shared" si="57"/>
        <v>1.008</v>
      </c>
      <c r="V69" s="76">
        <f t="shared" si="57"/>
        <v>1.003</v>
      </c>
      <c r="W69" s="76">
        <f t="shared" si="57"/>
        <v>1.008</v>
      </c>
      <c r="X69" s="76">
        <f t="shared" si="57"/>
        <v>1.018946992</v>
      </c>
      <c r="Y69" s="76">
        <f t="shared" si="57"/>
        <v>1.003414893</v>
      </c>
      <c r="Z69" s="76">
        <f t="shared" si="57"/>
        <v>1.01040561</v>
      </c>
      <c r="AA69" s="76"/>
      <c r="AB69" s="76"/>
    </row>
    <row r="70" ht="12.75" customHeight="1">
      <c r="A70" s="30">
        <f t="shared" si="52"/>
        <v>2013</v>
      </c>
      <c r="B70" s="76">
        <f t="shared" ref="B70:L70" si="58">OFFSET(B40,($B$63-B$63)/12,0)</f>
        <v>1.232</v>
      </c>
      <c r="C70" s="76">
        <f t="shared" si="58"/>
        <v>1.056868523</v>
      </c>
      <c r="D70" s="76">
        <f t="shared" si="58"/>
        <v>0.974</v>
      </c>
      <c r="E70" s="76">
        <f t="shared" si="58"/>
        <v>0.975</v>
      </c>
      <c r="F70" s="76">
        <f t="shared" si="58"/>
        <v>0.992</v>
      </c>
      <c r="G70" s="76">
        <f t="shared" si="58"/>
        <v>0.987</v>
      </c>
      <c r="H70" s="76">
        <f t="shared" si="58"/>
        <v>0.997</v>
      </c>
      <c r="I70" s="76">
        <f t="shared" si="58"/>
        <v>1.030001942</v>
      </c>
      <c r="J70" s="76">
        <f t="shared" si="58"/>
        <v>1.057183401</v>
      </c>
      <c r="K70" s="76">
        <f t="shared" si="58"/>
        <v>1.021505235</v>
      </c>
      <c r="L70" s="76">
        <f t="shared" si="58"/>
        <v>1.020102095</v>
      </c>
      <c r="M70" s="76"/>
      <c r="P70" s="30">
        <f t="shared" si="54"/>
        <v>2013</v>
      </c>
      <c r="Q70" s="76">
        <f t="shared" ref="Q70:AA70" si="59">OFFSET(Q40,($B$63-Q$63)/12,0)</f>
        <v>1.961</v>
      </c>
      <c r="R70" s="76">
        <f t="shared" si="59"/>
        <v>1.134886293</v>
      </c>
      <c r="S70" s="76">
        <f t="shared" si="59"/>
        <v>1.037</v>
      </c>
      <c r="T70" s="76">
        <f t="shared" si="59"/>
        <v>1.015</v>
      </c>
      <c r="U70" s="76">
        <f t="shared" si="59"/>
        <v>1.006</v>
      </c>
      <c r="V70" s="76">
        <f t="shared" si="59"/>
        <v>1.006</v>
      </c>
      <c r="W70" s="76">
        <f t="shared" si="59"/>
        <v>1.003</v>
      </c>
      <c r="X70" s="76">
        <f t="shared" si="59"/>
        <v>1.021260116</v>
      </c>
      <c r="Y70" s="76">
        <f t="shared" si="59"/>
        <v>1.042146974</v>
      </c>
      <c r="Z70" s="76">
        <f t="shared" si="59"/>
        <v>1.025396023</v>
      </c>
      <c r="AA70" s="76">
        <f t="shared" si="59"/>
        <v>1.033563458</v>
      </c>
      <c r="AB70" s="76"/>
    </row>
    <row r="71" ht="12.75" customHeight="1">
      <c r="A71" s="30">
        <f t="shared" si="52"/>
        <v>2014</v>
      </c>
      <c r="B71" s="76">
        <f t="shared" ref="B71:M71" si="60">OFFSET(B41,($B$63-B$63)/12,0)</f>
        <v>1.334</v>
      </c>
      <c r="C71" s="76">
        <f t="shared" si="60"/>
        <v>1.026</v>
      </c>
      <c r="D71" s="76">
        <f t="shared" si="60"/>
        <v>0.9777419107</v>
      </c>
      <c r="E71" s="76">
        <f t="shared" si="60"/>
        <v>0.996</v>
      </c>
      <c r="F71" s="76">
        <f t="shared" si="60"/>
        <v>0.9892498268</v>
      </c>
      <c r="G71" s="76">
        <f t="shared" si="60"/>
        <v>0.986</v>
      </c>
      <c r="H71" s="76">
        <f t="shared" si="60"/>
        <v>0.997</v>
      </c>
      <c r="I71" s="76">
        <f t="shared" si="60"/>
        <v>1.016857906</v>
      </c>
      <c r="J71" s="76">
        <f t="shared" si="60"/>
        <v>1.007271328</v>
      </c>
      <c r="K71" s="76">
        <f t="shared" si="60"/>
        <v>1.004753325</v>
      </c>
      <c r="L71" s="76">
        <f t="shared" si="60"/>
        <v>0.9913458812</v>
      </c>
      <c r="M71" s="76">
        <f t="shared" si="60"/>
        <v>0.9900990099</v>
      </c>
      <c r="P71" s="30">
        <f t="shared" si="54"/>
        <v>2014</v>
      </c>
      <c r="Q71" s="76">
        <f t="shared" ref="Q71:AB71" si="61">OFFSET(Q41,($B$63-Q$63)/12,0)</f>
        <v>1.944</v>
      </c>
      <c r="R71" s="76">
        <f t="shared" si="61"/>
        <v>1.113</v>
      </c>
      <c r="S71" s="76">
        <f t="shared" si="61"/>
        <v>1.094384468</v>
      </c>
      <c r="T71" s="76">
        <f t="shared" si="61"/>
        <v>1.018</v>
      </c>
      <c r="U71" s="76">
        <f t="shared" si="61"/>
        <v>1.009</v>
      </c>
      <c r="V71" s="76">
        <f t="shared" si="61"/>
        <v>1.002</v>
      </c>
      <c r="W71" s="76">
        <f t="shared" si="61"/>
        <v>1.004</v>
      </c>
      <c r="X71" s="76">
        <f t="shared" si="61"/>
        <v>1.015887115</v>
      </c>
      <c r="Y71" s="76">
        <f t="shared" si="61"/>
        <v>1.008636439</v>
      </c>
      <c r="Z71" s="76">
        <f t="shared" si="61"/>
        <v>1.025534857</v>
      </c>
      <c r="AA71" s="76">
        <f t="shared" si="61"/>
        <v>1.010191449</v>
      </c>
      <c r="AB71" s="76">
        <f t="shared" si="61"/>
        <v>1.024949069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B25:N25"/>
    <mergeCell ref="B61:N61"/>
    <mergeCell ref="Q61:AC61"/>
    <mergeCell ref="B62:N62"/>
    <mergeCell ref="Q62:AC62"/>
    <mergeCell ref="B2:N2"/>
    <mergeCell ref="Q2:AC2"/>
    <mergeCell ref="B3:N3"/>
    <mergeCell ref="Q3:AC3"/>
    <mergeCell ref="B24:N24"/>
    <mergeCell ref="Q24:AC24"/>
    <mergeCell ref="Q25:AC2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>
      <c r="B3" s="30" t="s">
        <v>119</v>
      </c>
      <c r="D3" s="30" t="s">
        <v>120</v>
      </c>
    </row>
    <row r="4" ht="12.75" customHeight="1">
      <c r="A4" s="30" t="s">
        <v>121</v>
      </c>
      <c r="B4" s="9" t="s">
        <v>68</v>
      </c>
      <c r="C4" s="9" t="s">
        <v>69</v>
      </c>
      <c r="D4" s="9" t="s">
        <v>68</v>
      </c>
      <c r="E4" s="9" t="s">
        <v>69</v>
      </c>
    </row>
    <row r="5" ht="12.75" hidden="1" customHeight="1">
      <c r="A5" s="30"/>
      <c r="B5" s="9" t="s">
        <v>122</v>
      </c>
      <c r="C5" s="9" t="s">
        <v>123</v>
      </c>
      <c r="D5" s="9" t="s">
        <v>124</v>
      </c>
      <c r="E5" s="9" t="s">
        <v>125</v>
      </c>
    </row>
    <row r="6" ht="12.75" customHeight="1">
      <c r="A6" s="77">
        <v>12.0</v>
      </c>
      <c r="B6" s="78">
        <f>1/HLOOKUP($A6,Base_Indem_Tri!$Q$6:$AC$57,52,FALSE)</f>
        <v>1</v>
      </c>
      <c r="C6" s="78">
        <f>1/HLOOKUP($A6,Base_Med_Tri!$Q$6:$AC$57,52,FALSE)</f>
        <v>1</v>
      </c>
      <c r="D6" s="78">
        <f>1/HLOOKUP($A6,Base_Indem_Tri!$B$6:$N$57,52,FALSE)</f>
        <v>1</v>
      </c>
      <c r="E6" s="78">
        <f>1/HLOOKUP($A6,Base_Med_Tri!$B$6:$N$57,52,FALSE)</f>
        <v>1</v>
      </c>
    </row>
    <row r="7" ht="12.75" customHeight="1">
      <c r="A7" s="77">
        <f t="shared" ref="A7:A17" si="1">+A6+12</f>
        <v>24</v>
      </c>
      <c r="B7" s="78">
        <f>1/HLOOKUP($A7,Base_Indem_Tri!$Q$6:$AC$57,52,FALSE)</f>
        <v>1</v>
      </c>
      <c r="C7" s="78">
        <f>1/HLOOKUP($A7,Base_Med_Tri!$Q$6:$AC$57,52,FALSE)</f>
        <v>1</v>
      </c>
      <c r="D7" s="78">
        <f>1/HLOOKUP($A7,Base_Indem_Tri!$B$6:$N$57,52,FALSE)</f>
        <v>1</v>
      </c>
      <c r="E7" s="78">
        <f>1/HLOOKUP($A7,Base_Med_Tri!$B$6:$N$57,52,FALSE)</f>
        <v>1</v>
      </c>
    </row>
    <row r="8" ht="12.75" customHeight="1">
      <c r="A8" s="77">
        <f t="shared" si="1"/>
        <v>36</v>
      </c>
      <c r="B8" s="78">
        <f>1/HLOOKUP($A8,Base_Indem_Tri!$Q$6:$AC$57,52,FALSE)</f>
        <v>1</v>
      </c>
      <c r="C8" s="78">
        <f>1/HLOOKUP($A8,Base_Med_Tri!$Q$6:$AC$57,52,FALSE)</f>
        <v>1</v>
      </c>
      <c r="D8" s="78">
        <f>1/HLOOKUP($A8,Base_Indem_Tri!$B$6:$N$57,52,FALSE)</f>
        <v>1</v>
      </c>
      <c r="E8" s="78">
        <f>1/HLOOKUP($A8,Base_Med_Tri!$B$6:$N$57,52,FALSE)</f>
        <v>1</v>
      </c>
    </row>
    <row r="9" ht="12.75" customHeight="1">
      <c r="A9" s="77">
        <f t="shared" si="1"/>
        <v>48</v>
      </c>
      <c r="B9" s="78">
        <f>1/HLOOKUP($A9,Base_Indem_Tri!$Q$6:$AC$57,52,FALSE)</f>
        <v>1</v>
      </c>
      <c r="C9" s="78">
        <f>1/HLOOKUP($A9,Base_Med_Tri!$Q$6:$AC$57,52,FALSE)</f>
        <v>1</v>
      </c>
      <c r="D9" s="78">
        <f>1/HLOOKUP($A9,Base_Indem_Tri!$B$6:$N$57,52,FALSE)</f>
        <v>1</v>
      </c>
      <c r="E9" s="78">
        <f>1/HLOOKUP($A9,Base_Med_Tri!$B$6:$N$57,52,FALSE)</f>
        <v>1</v>
      </c>
    </row>
    <row r="10" ht="12.75" customHeight="1">
      <c r="A10" s="77">
        <f t="shared" si="1"/>
        <v>60</v>
      </c>
      <c r="B10" s="78">
        <f>1/HLOOKUP($A10,Base_Indem_Tri!$Q$6:$AC$57,52,FALSE)</f>
        <v>1</v>
      </c>
      <c r="C10" s="78">
        <f>1/HLOOKUP($A10,Base_Med_Tri!$Q$6:$AC$57,52,FALSE)</f>
        <v>1</v>
      </c>
      <c r="D10" s="78">
        <f>1/HLOOKUP($A10,Base_Indem_Tri!$B$6:$N$57,52,FALSE)</f>
        <v>1</v>
      </c>
      <c r="E10" s="78">
        <f>1/HLOOKUP($A10,Base_Med_Tri!$B$6:$N$57,52,FALSE)</f>
        <v>1</v>
      </c>
    </row>
    <row r="11" ht="12.75" customHeight="1">
      <c r="A11" s="77">
        <f t="shared" si="1"/>
        <v>72</v>
      </c>
      <c r="B11" s="78">
        <f>1/HLOOKUP($A11,Base_Indem_Tri!$Q$6:$AC$57,52,FALSE)</f>
        <v>1</v>
      </c>
      <c r="C11" s="78">
        <f>1/HLOOKUP($A11,Base_Med_Tri!$Q$6:$AC$57,52,FALSE)</f>
        <v>1</v>
      </c>
      <c r="D11" s="78">
        <f>1/HLOOKUP($A11,Base_Indem_Tri!$B$6:$N$57,52,FALSE)</f>
        <v>1</v>
      </c>
      <c r="E11" s="78">
        <f>1/HLOOKUP($A11,Base_Med_Tri!$B$6:$N$57,52,FALSE)</f>
        <v>1</v>
      </c>
    </row>
    <row r="12" ht="12.75" customHeight="1">
      <c r="A12" s="77">
        <f t="shared" si="1"/>
        <v>84</v>
      </c>
      <c r="B12" s="78">
        <f>1/HLOOKUP($A12,Base_Indem_Tri!$Q$6:$AC$57,52,FALSE)</f>
        <v>1</v>
      </c>
      <c r="C12" s="78">
        <f>1/HLOOKUP($A12,Base_Med_Tri!$Q$6:$AC$57,52,FALSE)</f>
        <v>1</v>
      </c>
      <c r="D12" s="78">
        <f>1/HLOOKUP($A12,Base_Indem_Tri!$B$6:$N$57,52,FALSE)</f>
        <v>1</v>
      </c>
      <c r="E12" s="78">
        <f>1/HLOOKUP($A12,Base_Med_Tri!$B$6:$N$57,52,FALSE)</f>
        <v>1</v>
      </c>
    </row>
    <row r="13" ht="12.75" customHeight="1">
      <c r="A13" s="77">
        <f t="shared" si="1"/>
        <v>96</v>
      </c>
      <c r="B13" s="78">
        <f>1/HLOOKUP($A13,Base_Indem_Tri!$Q$6:$AC$57,52,FALSE)</f>
        <v>1</v>
      </c>
      <c r="C13" s="78">
        <f>1/HLOOKUP($A13,Base_Med_Tri!$Q$6:$AC$57,52,FALSE)</f>
        <v>1</v>
      </c>
      <c r="D13" s="78">
        <f>1/HLOOKUP($A13,Base_Indem_Tri!$B$6:$N$57,52,FALSE)</f>
        <v>1</v>
      </c>
      <c r="E13" s="78">
        <f>1/HLOOKUP($A13,Base_Med_Tri!$B$6:$N$57,52,FALSE)</f>
        <v>1</v>
      </c>
    </row>
    <row r="14" ht="12.75" customHeight="1">
      <c r="A14" s="77">
        <f t="shared" si="1"/>
        <v>108</v>
      </c>
      <c r="B14" s="78">
        <f>1/HLOOKUP($A14,Base_Indem_Tri!$Q$6:$AC$57,52,FALSE)</f>
        <v>1</v>
      </c>
      <c r="C14" s="78">
        <f>1/HLOOKUP($A14,Base_Med_Tri!$Q$6:$AC$57,52,FALSE)</f>
        <v>1</v>
      </c>
      <c r="D14" s="78">
        <f>1/HLOOKUP($A14,Base_Indem_Tri!$B$6:$N$57,52,FALSE)</f>
        <v>1</v>
      </c>
      <c r="E14" s="78">
        <f>1/HLOOKUP($A14,Base_Med_Tri!$B$6:$N$57,52,FALSE)</f>
        <v>1</v>
      </c>
    </row>
    <row r="15" ht="12.75" customHeight="1">
      <c r="A15" s="77">
        <f t="shared" si="1"/>
        <v>120</v>
      </c>
      <c r="B15" s="78">
        <f>1/HLOOKUP($A15,Base_Indem_Tri!$Q$6:$AC$57,52,FALSE)</f>
        <v>1</v>
      </c>
      <c r="C15" s="78">
        <f>1/HLOOKUP($A15,Base_Med_Tri!$Q$6:$AC$57,52,FALSE)</f>
        <v>1</v>
      </c>
      <c r="D15" s="78">
        <f>1/HLOOKUP($A15,Base_Indem_Tri!$B$6:$N$57,52,FALSE)</f>
        <v>1</v>
      </c>
      <c r="E15" s="78">
        <f>1/HLOOKUP($A15,Base_Med_Tri!$B$6:$N$57,52,FALSE)</f>
        <v>1</v>
      </c>
    </row>
    <row r="16" ht="12.75" customHeight="1">
      <c r="A16" s="77">
        <f t="shared" si="1"/>
        <v>132</v>
      </c>
      <c r="B16" s="78">
        <f>1/HLOOKUP($A16,Base_Indem_Tri!$Q$6:$AC$57,52,FALSE)</f>
        <v>1</v>
      </c>
      <c r="C16" s="78">
        <f>1/HLOOKUP($A16,Base_Med_Tri!$Q$6:$AC$57,52,FALSE)</f>
        <v>1</v>
      </c>
      <c r="D16" s="78">
        <f>1/HLOOKUP($A16,Base_Indem_Tri!$B$6:$N$57,52,FALSE)</f>
        <v>1</v>
      </c>
      <c r="E16" s="78">
        <f>1/HLOOKUP($A16,Base_Med_Tri!$B$6:$N$57,52,FALSE)</f>
        <v>1</v>
      </c>
    </row>
    <row r="17" ht="12.75" customHeight="1">
      <c r="A17" s="77">
        <f t="shared" si="1"/>
        <v>144</v>
      </c>
      <c r="B17" s="78">
        <f>1/HLOOKUP($A17,Base_Indem_Tri!$Q$6:$AC$57,52,FALSE)</f>
        <v>1</v>
      </c>
      <c r="C17" s="78">
        <f>1/HLOOKUP($A17,Base_Med_Tri!$Q$6:$AC$57,52,FALSE)</f>
        <v>1</v>
      </c>
      <c r="D17" s="78">
        <f>1/HLOOKUP($A17,Base_Indem_Tri!$B$6:$N$57,52,FALSE)</f>
        <v>1</v>
      </c>
      <c r="E17" s="78">
        <f>1/HLOOKUP($A17,Base_Med_Tri!$B$6:$N$57,52,FALSE)</f>
        <v>1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3:C3"/>
    <mergeCell ref="D3:E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 fitToPage="1"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1.5"/>
    <col customWidth="1" min="4" max="4" width="12.5"/>
    <col customWidth="1" min="5" max="5" width="11.5"/>
    <col customWidth="1" min="6" max="6" width="11.63"/>
    <col customWidth="1" min="7" max="10" width="10.63"/>
    <col customWidth="1" min="11" max="14" width="9.5"/>
    <col customWidth="1" min="15" max="15" width="10.13"/>
    <col customWidth="1" min="16" max="16" width="9.5"/>
    <col customWidth="1" min="17" max="17" width="10.13"/>
    <col customWidth="1" min="18" max="18" width="9.5"/>
    <col customWidth="1" min="19" max="19" width="11.13"/>
    <col customWidth="1" min="20" max="21" width="9.38"/>
    <col customWidth="1" min="22" max="22" width="10.5"/>
    <col customWidth="1" min="23" max="23" width="8.5"/>
    <col customWidth="1" min="24" max="29" width="9.13"/>
    <col customWidth="1" min="30" max="30" width="9.88"/>
    <col customWidth="1" min="31" max="38" width="9.13"/>
  </cols>
  <sheetData>
    <row r="1" ht="12.7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ht="12.75" customHeight="1">
      <c r="A2" s="11"/>
      <c r="B2" s="33" t="s">
        <v>64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ht="12.75" customHeight="1">
      <c r="A3" s="11"/>
      <c r="B3" s="33" t="s">
        <v>65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33" t="s">
        <v>126</v>
      </c>
      <c r="Z3" s="11"/>
      <c r="AA3" s="11"/>
      <c r="AB3" s="11"/>
      <c r="AC3" s="11"/>
      <c r="AD3" s="33" t="s">
        <v>66</v>
      </c>
      <c r="AE3" s="11"/>
      <c r="AF3" s="11"/>
      <c r="AG3" s="11"/>
      <c r="AH3" s="11"/>
      <c r="AI3" s="33" t="s">
        <v>66</v>
      </c>
      <c r="AJ3" s="11"/>
      <c r="AK3" s="11"/>
      <c r="AL3" s="11"/>
    </row>
    <row r="4" ht="12.75" customHeight="1">
      <c r="A4" s="11"/>
      <c r="B4" s="11" t="s">
        <v>67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33" t="s">
        <v>127</v>
      </c>
      <c r="Z4" s="11"/>
      <c r="AA4" s="11"/>
      <c r="AB4" s="11"/>
      <c r="AC4" s="11"/>
      <c r="AD4" s="33" t="s">
        <v>128</v>
      </c>
      <c r="AE4" s="11"/>
      <c r="AF4" s="11"/>
      <c r="AG4" s="11"/>
      <c r="AH4" s="11"/>
      <c r="AI4" s="33" t="s">
        <v>129</v>
      </c>
      <c r="AJ4" s="11"/>
      <c r="AK4" s="11"/>
      <c r="AL4" s="11"/>
    </row>
    <row r="5" ht="12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12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39" t="s">
        <v>73</v>
      </c>
      <c r="P6" s="40"/>
      <c r="Q6" s="40"/>
      <c r="R6" s="40"/>
      <c r="S6" s="40"/>
      <c r="T6" s="40"/>
      <c r="U6" s="40"/>
      <c r="V6" s="41"/>
      <c r="W6" s="11"/>
      <c r="X6" s="11"/>
      <c r="Y6" s="42" t="s">
        <v>74</v>
      </c>
      <c r="Z6" s="43" t="s">
        <v>89</v>
      </c>
      <c r="AA6" s="44" t="s">
        <v>76</v>
      </c>
      <c r="AB6" s="44" t="s">
        <v>77</v>
      </c>
      <c r="AC6" s="11"/>
      <c r="AD6" s="42" t="s">
        <v>74</v>
      </c>
      <c r="AE6" s="43" t="s">
        <v>75</v>
      </c>
      <c r="AF6" s="44" t="s">
        <v>76</v>
      </c>
      <c r="AG6" s="44" t="s">
        <v>77</v>
      </c>
      <c r="AH6" s="11"/>
      <c r="AI6" s="42" t="s">
        <v>74</v>
      </c>
      <c r="AJ6" s="43" t="s">
        <v>75</v>
      </c>
      <c r="AK6" s="44" t="s">
        <v>76</v>
      </c>
      <c r="AL6" s="44" t="s">
        <v>77</v>
      </c>
    </row>
    <row r="7" ht="12.75" customHeight="1">
      <c r="A7" s="11"/>
      <c r="B7" s="36"/>
      <c r="C7" s="36"/>
      <c r="D7" s="36"/>
      <c r="E7" s="36"/>
      <c r="F7" s="36" t="s">
        <v>70</v>
      </c>
      <c r="G7" s="39" t="s">
        <v>71</v>
      </c>
      <c r="H7" s="40"/>
      <c r="I7" s="40"/>
      <c r="J7" s="41"/>
      <c r="K7" s="39" t="s">
        <v>130</v>
      </c>
      <c r="L7" s="40"/>
      <c r="M7" s="40"/>
      <c r="N7" s="41"/>
      <c r="O7" s="39" t="s">
        <v>82</v>
      </c>
      <c r="P7" s="40"/>
      <c r="Q7" s="40"/>
      <c r="R7" s="41"/>
      <c r="S7" s="39" t="s">
        <v>83</v>
      </c>
      <c r="T7" s="40"/>
      <c r="U7" s="40"/>
      <c r="V7" s="41"/>
      <c r="W7" s="11"/>
      <c r="X7" s="11"/>
      <c r="Y7" s="45" t="s">
        <v>84</v>
      </c>
      <c r="Z7" s="46" t="s">
        <v>131</v>
      </c>
      <c r="AA7" s="47" t="s">
        <v>86</v>
      </c>
      <c r="AB7" s="47" t="s">
        <v>131</v>
      </c>
      <c r="AC7" s="11"/>
      <c r="AD7" s="45" t="s">
        <v>84</v>
      </c>
      <c r="AE7" s="46" t="s">
        <v>132</v>
      </c>
      <c r="AF7" s="47" t="s">
        <v>86</v>
      </c>
      <c r="AG7" s="47" t="s">
        <v>132</v>
      </c>
      <c r="AH7" s="11"/>
      <c r="AI7" s="45" t="s">
        <v>84</v>
      </c>
      <c r="AJ7" s="46" t="s">
        <v>132</v>
      </c>
      <c r="AK7" s="47" t="s">
        <v>86</v>
      </c>
      <c r="AL7" s="47" t="s">
        <v>132</v>
      </c>
    </row>
    <row r="8" ht="12.75" customHeight="1">
      <c r="A8" s="11"/>
      <c r="B8" s="36" t="s">
        <v>74</v>
      </c>
      <c r="C8" s="36" t="s">
        <v>78</v>
      </c>
      <c r="D8" s="39" t="str">
        <f>"Claims at 12/31/" &amp; B24</f>
        <v>Claims at 12/31/2015</v>
      </c>
      <c r="E8" s="41"/>
      <c r="F8" s="36" t="s">
        <v>79</v>
      </c>
      <c r="G8" s="39" t="s">
        <v>133</v>
      </c>
      <c r="H8" s="41"/>
      <c r="I8" s="39" t="s">
        <v>134</v>
      </c>
      <c r="J8" s="41"/>
      <c r="K8" s="39" t="s">
        <v>133</v>
      </c>
      <c r="L8" s="41"/>
      <c r="M8" s="39" t="s">
        <v>134</v>
      </c>
      <c r="N8" s="41"/>
      <c r="O8" s="39" t="s">
        <v>133</v>
      </c>
      <c r="P8" s="41"/>
      <c r="Q8" s="39" t="s">
        <v>134</v>
      </c>
      <c r="R8" s="41"/>
      <c r="S8" s="39" t="s">
        <v>133</v>
      </c>
      <c r="T8" s="41"/>
      <c r="U8" s="39" t="s">
        <v>134</v>
      </c>
      <c r="V8" s="41"/>
      <c r="W8" s="11"/>
      <c r="X8" s="11"/>
      <c r="Y8" s="49">
        <f>Rep_Tri!A8</f>
        <v>2003</v>
      </c>
      <c r="Z8" s="50">
        <f>Rep_Tri!N8</f>
        <v>4353</v>
      </c>
      <c r="AA8" s="79">
        <f>Rep_Tri!$N$57</f>
        <v>1</v>
      </c>
      <c r="AB8" s="52">
        <f t="shared" ref="AB8:AB20" si="1">AA8*Z8</f>
        <v>4353</v>
      </c>
      <c r="AC8" s="11"/>
      <c r="AD8" s="49">
        <f t="shared" ref="AD8:AD20" si="2">Y8</f>
        <v>2003</v>
      </c>
      <c r="AE8" s="50">
        <f>Base_Indem_Sev!AC8</f>
        <v>16513</v>
      </c>
      <c r="AF8" s="79">
        <f>Base_Indem_Sev!$AC$57</f>
        <v>1</v>
      </c>
      <c r="AG8" s="52">
        <f t="shared" ref="AG8:AG20" si="3">AE8*AF8</f>
        <v>16513</v>
      </c>
      <c r="AH8" s="11"/>
      <c r="AI8" s="49">
        <f t="shared" ref="AI8:AI20" si="4">AD8</f>
        <v>2003</v>
      </c>
      <c r="AJ8" s="50">
        <f>Base_Med_Sev!AC8</f>
        <v>17187</v>
      </c>
      <c r="AK8" s="79">
        <f>Base_Med_Sev!$AC$57</f>
        <v>1</v>
      </c>
      <c r="AL8" s="52">
        <f t="shared" ref="AL8:AL20" si="5">AJ8*AK8</f>
        <v>17187</v>
      </c>
    </row>
    <row r="9" ht="12.75" customHeight="1">
      <c r="A9" s="11"/>
      <c r="B9" s="48" t="s">
        <v>84</v>
      </c>
      <c r="C9" s="48" t="s">
        <v>88</v>
      </c>
      <c r="D9" s="48" t="s">
        <v>75</v>
      </c>
      <c r="E9" s="48" t="s">
        <v>89</v>
      </c>
      <c r="F9" s="48" t="str">
        <f>"At 12/31/" &amp; B24</f>
        <v>At 12/31/2015</v>
      </c>
      <c r="G9" s="48" t="s">
        <v>75</v>
      </c>
      <c r="H9" s="48" t="s">
        <v>89</v>
      </c>
      <c r="I9" s="48" t="s">
        <v>75</v>
      </c>
      <c r="J9" s="48" t="s">
        <v>89</v>
      </c>
      <c r="K9" s="48" t="s">
        <v>75</v>
      </c>
      <c r="L9" s="48" t="s">
        <v>89</v>
      </c>
      <c r="M9" s="48" t="s">
        <v>75</v>
      </c>
      <c r="N9" s="48" t="s">
        <v>89</v>
      </c>
      <c r="O9" s="48" t="s">
        <v>75</v>
      </c>
      <c r="P9" s="48" t="s">
        <v>89</v>
      </c>
      <c r="Q9" s="48" t="s">
        <v>75</v>
      </c>
      <c r="R9" s="48" t="s">
        <v>89</v>
      </c>
      <c r="S9" s="48" t="s">
        <v>75</v>
      </c>
      <c r="T9" s="48" t="s">
        <v>89</v>
      </c>
      <c r="U9" s="48" t="s">
        <v>75</v>
      </c>
      <c r="V9" s="48" t="s">
        <v>89</v>
      </c>
      <c r="W9" s="11"/>
      <c r="X9" s="11"/>
      <c r="Y9" s="49">
        <f>Rep_Tri!A9</f>
        <v>2004</v>
      </c>
      <c r="Z9" s="50">
        <f>Rep_Tri!M9</f>
        <v>4175</v>
      </c>
      <c r="AA9" s="79">
        <f>Rep_Tri!M57</f>
        <v>1</v>
      </c>
      <c r="AB9" s="52">
        <f t="shared" si="1"/>
        <v>4175</v>
      </c>
      <c r="AC9" s="11"/>
      <c r="AD9" s="49">
        <f t="shared" si="2"/>
        <v>2004</v>
      </c>
      <c r="AE9" s="50">
        <f>Base_Indem_Sev!AB9</f>
        <v>17420.08231</v>
      </c>
      <c r="AF9" s="79">
        <f>Base_Indem_Sev!AB57</f>
        <v>1</v>
      </c>
      <c r="AG9" s="52">
        <f t="shared" si="3"/>
        <v>17420.08231</v>
      </c>
      <c r="AH9" s="11"/>
      <c r="AI9" s="49">
        <f t="shared" si="4"/>
        <v>2004</v>
      </c>
      <c r="AJ9" s="50">
        <f>Base_Med_Sev!AB9</f>
        <v>17813.56807</v>
      </c>
      <c r="AK9" s="79">
        <f>Base_Med_Sev!AB57</f>
        <v>1</v>
      </c>
      <c r="AL9" s="52">
        <f t="shared" si="5"/>
        <v>17813.56807</v>
      </c>
    </row>
    <row r="10" ht="12.75" customHeight="1">
      <c r="A10" s="11"/>
      <c r="B10" s="53">
        <v>-1.0</v>
      </c>
      <c r="C10" s="53">
        <f t="shared" ref="C10:V10" si="6">B10-1</f>
        <v>-2</v>
      </c>
      <c r="D10" s="53">
        <f t="shared" si="6"/>
        <v>-3</v>
      </c>
      <c r="E10" s="53">
        <f t="shared" si="6"/>
        <v>-4</v>
      </c>
      <c r="F10" s="53">
        <f t="shared" si="6"/>
        <v>-5</v>
      </c>
      <c r="G10" s="53">
        <f t="shared" si="6"/>
        <v>-6</v>
      </c>
      <c r="H10" s="53">
        <f t="shared" si="6"/>
        <v>-7</v>
      </c>
      <c r="I10" s="53">
        <f t="shared" si="6"/>
        <v>-8</v>
      </c>
      <c r="J10" s="53">
        <f t="shared" si="6"/>
        <v>-9</v>
      </c>
      <c r="K10" s="53">
        <f t="shared" si="6"/>
        <v>-10</v>
      </c>
      <c r="L10" s="53">
        <f t="shared" si="6"/>
        <v>-11</v>
      </c>
      <c r="M10" s="53">
        <f t="shared" si="6"/>
        <v>-12</v>
      </c>
      <c r="N10" s="53">
        <f t="shared" si="6"/>
        <v>-13</v>
      </c>
      <c r="O10" s="53">
        <f t="shared" si="6"/>
        <v>-14</v>
      </c>
      <c r="P10" s="53">
        <f t="shared" si="6"/>
        <v>-15</v>
      </c>
      <c r="Q10" s="53">
        <f t="shared" si="6"/>
        <v>-16</v>
      </c>
      <c r="R10" s="53">
        <f t="shared" si="6"/>
        <v>-17</v>
      </c>
      <c r="S10" s="53">
        <f t="shared" si="6"/>
        <v>-18</v>
      </c>
      <c r="T10" s="53">
        <f t="shared" si="6"/>
        <v>-19</v>
      </c>
      <c r="U10" s="53">
        <f t="shared" si="6"/>
        <v>-20</v>
      </c>
      <c r="V10" s="53">
        <f t="shared" si="6"/>
        <v>-21</v>
      </c>
      <c r="W10" s="11"/>
      <c r="X10" s="11"/>
      <c r="Y10" s="49">
        <f>Rep_Tri!A10</f>
        <v>2005</v>
      </c>
      <c r="Z10" s="50">
        <f>Rep_Tri!L10</f>
        <v>4020</v>
      </c>
      <c r="AA10" s="79">
        <f>Rep_Tri!L57</f>
        <v>1</v>
      </c>
      <c r="AB10" s="52">
        <f t="shared" si="1"/>
        <v>4020</v>
      </c>
      <c r="AC10" s="11"/>
      <c r="AD10" s="49">
        <f t="shared" si="2"/>
        <v>2005</v>
      </c>
      <c r="AE10" s="50">
        <f>Base_Indem_Sev!AA10</f>
        <v>16877.78223</v>
      </c>
      <c r="AF10" s="79">
        <f>Base_Indem_Sev!AA57</f>
        <v>1</v>
      </c>
      <c r="AG10" s="52">
        <f t="shared" si="3"/>
        <v>16877.78223</v>
      </c>
      <c r="AH10" s="11"/>
      <c r="AI10" s="49">
        <f t="shared" si="4"/>
        <v>2005</v>
      </c>
      <c r="AJ10" s="50">
        <f>Base_Med_Sev!AA10</f>
        <v>18672.44261</v>
      </c>
      <c r="AK10" s="79">
        <f>Base_Med_Sev!AA57</f>
        <v>1</v>
      </c>
      <c r="AL10" s="52">
        <f t="shared" si="5"/>
        <v>18672.44261</v>
      </c>
    </row>
    <row r="11" ht="12.75" customHeight="1">
      <c r="A11" s="11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11"/>
      <c r="X11" s="11"/>
      <c r="Y11" s="49">
        <f>Rep_Tri!A11</f>
        <v>2006</v>
      </c>
      <c r="Z11" s="50">
        <f>Rep_Tri!K11</f>
        <v>3755</v>
      </c>
      <c r="AA11" s="79">
        <f>Rep_Tri!K57</f>
        <v>1</v>
      </c>
      <c r="AB11" s="52">
        <f t="shared" si="1"/>
        <v>3755</v>
      </c>
      <c r="AC11" s="11"/>
      <c r="AD11" s="49">
        <f t="shared" si="2"/>
        <v>2006</v>
      </c>
      <c r="AE11" s="50">
        <f>Base_Indem_Sev!Z11</f>
        <v>17124.01166</v>
      </c>
      <c r="AF11" s="79">
        <f>Base_Indem_Sev!Z57</f>
        <v>1</v>
      </c>
      <c r="AG11" s="52">
        <f t="shared" si="3"/>
        <v>17124.01166</v>
      </c>
      <c r="AH11" s="11"/>
      <c r="AI11" s="49">
        <f t="shared" si="4"/>
        <v>2006</v>
      </c>
      <c r="AJ11" s="50">
        <f>Base_Med_Sev!Z11</f>
        <v>19656.24408</v>
      </c>
      <c r="AK11" s="79">
        <f>Base_Med_Sev!Z57</f>
        <v>1</v>
      </c>
      <c r="AL11" s="52">
        <f t="shared" si="5"/>
        <v>19656.24408</v>
      </c>
    </row>
    <row r="12" ht="12.75" customHeight="1">
      <c r="A12" s="11"/>
      <c r="B12" s="36">
        <f t="shared" ref="B12:B24" si="10">Y8</f>
        <v>2003</v>
      </c>
      <c r="C12" s="54">
        <f>Summary!C11</f>
        <v>206600</v>
      </c>
      <c r="D12" s="54">
        <f t="shared" ref="D12:D24" si="11">(AE8+AJ8)*Z8/1000</f>
        <v>146696.1</v>
      </c>
      <c r="E12" s="54">
        <f t="shared" ref="E12:E24" si="12">(AE28+AJ28)*Z8/1000</f>
        <v>146696.1</v>
      </c>
      <c r="F12" s="54">
        <f t="shared" ref="F12:F24" si="13">E12-D12</f>
        <v>0</v>
      </c>
      <c r="G12" s="54">
        <f>Summary!G11</f>
        <v>146696.1</v>
      </c>
      <c r="H12" s="54">
        <f>Summary!H11</f>
        <v>146696.1</v>
      </c>
      <c r="I12" s="54">
        <f t="shared" ref="I12:I24" si="14">(AG8+AL8)*AB8/1000</f>
        <v>146696.1</v>
      </c>
      <c r="J12" s="54">
        <f t="shared" ref="J12:J24" si="15">(AG28+AL28)*AB8/1000</f>
        <v>146696.1</v>
      </c>
      <c r="K12" s="55">
        <f t="shared" ref="K12:N12" si="7">G12/$C12</f>
        <v>0.7100488867</v>
      </c>
      <c r="L12" s="55">
        <f t="shared" si="7"/>
        <v>0.7100488867</v>
      </c>
      <c r="M12" s="55">
        <f t="shared" si="7"/>
        <v>0.7100488867</v>
      </c>
      <c r="N12" s="55">
        <f t="shared" si="7"/>
        <v>0.7100488867</v>
      </c>
      <c r="O12" s="54">
        <f t="shared" ref="O12:R12" si="8">G12-$E12</f>
        <v>0</v>
      </c>
      <c r="P12" s="54">
        <f t="shared" si="8"/>
        <v>0</v>
      </c>
      <c r="Q12" s="54">
        <f t="shared" si="8"/>
        <v>0</v>
      </c>
      <c r="R12" s="54">
        <f t="shared" si="8"/>
        <v>0</v>
      </c>
      <c r="S12" s="54">
        <f t="shared" ref="S12:V12" si="9">$F12+O12</f>
        <v>0</v>
      </c>
      <c r="T12" s="54">
        <f t="shared" si="9"/>
        <v>0</v>
      </c>
      <c r="U12" s="54">
        <f t="shared" si="9"/>
        <v>0</v>
      </c>
      <c r="V12" s="54">
        <f t="shared" si="9"/>
        <v>0</v>
      </c>
      <c r="W12" s="11"/>
      <c r="X12" s="11"/>
      <c r="Y12" s="49">
        <f>Rep_Tri!A12</f>
        <v>2007</v>
      </c>
      <c r="Z12" s="50">
        <f>Rep_Tri!J12</f>
        <v>3586</v>
      </c>
      <c r="AA12" s="79">
        <f>Rep_Tri!J57</f>
        <v>1</v>
      </c>
      <c r="AB12" s="52">
        <f t="shared" si="1"/>
        <v>3586</v>
      </c>
      <c r="AC12" s="11"/>
      <c r="AD12" s="49">
        <f t="shared" si="2"/>
        <v>2007</v>
      </c>
      <c r="AE12" s="50">
        <f>Base_Indem_Sev!Y12</f>
        <v>17980.39167</v>
      </c>
      <c r="AF12" s="79">
        <f>Base_Indem_Sev!Y57</f>
        <v>1</v>
      </c>
      <c r="AG12" s="52">
        <f t="shared" si="3"/>
        <v>17980.39167</v>
      </c>
      <c r="AH12" s="11"/>
      <c r="AI12" s="49">
        <f t="shared" si="4"/>
        <v>2007</v>
      </c>
      <c r="AJ12" s="50">
        <f>Base_Med_Sev!Y12</f>
        <v>20529.91659</v>
      </c>
      <c r="AK12" s="79">
        <f>Base_Med_Sev!Y57</f>
        <v>1</v>
      </c>
      <c r="AL12" s="52">
        <f t="shared" si="5"/>
        <v>20529.91659</v>
      </c>
    </row>
    <row r="13" ht="12.75" customHeight="1">
      <c r="A13" s="11"/>
      <c r="B13" s="36">
        <f t="shared" si="10"/>
        <v>2004</v>
      </c>
      <c r="C13" s="54">
        <f>Summary!C12</f>
        <v>210500</v>
      </c>
      <c r="D13" s="54">
        <f t="shared" si="11"/>
        <v>147100.4903</v>
      </c>
      <c r="E13" s="54">
        <f t="shared" si="12"/>
        <v>150959.65</v>
      </c>
      <c r="F13" s="54">
        <f t="shared" si="13"/>
        <v>3859.159658</v>
      </c>
      <c r="G13" s="54">
        <f>Summary!G12</f>
        <v>147100.4903</v>
      </c>
      <c r="H13" s="54">
        <f>Summary!H12</f>
        <v>150959.65</v>
      </c>
      <c r="I13" s="54">
        <f t="shared" si="14"/>
        <v>147100.4903</v>
      </c>
      <c r="J13" s="54">
        <f t="shared" si="15"/>
        <v>150959.65</v>
      </c>
      <c r="K13" s="55">
        <f t="shared" ref="K13:N13" si="16">G13/$C13</f>
        <v>0.698814681</v>
      </c>
      <c r="L13" s="55">
        <f t="shared" si="16"/>
        <v>0.717147981</v>
      </c>
      <c r="M13" s="55">
        <f t="shared" si="16"/>
        <v>0.698814681</v>
      </c>
      <c r="N13" s="55">
        <f t="shared" si="16"/>
        <v>0.717147981</v>
      </c>
      <c r="O13" s="54">
        <f t="shared" ref="O13:R13" si="17">G13-$E13</f>
        <v>-3859.159658</v>
      </c>
      <c r="P13" s="54">
        <f t="shared" si="17"/>
        <v>0</v>
      </c>
      <c r="Q13" s="54">
        <f t="shared" si="17"/>
        <v>-3859.159658</v>
      </c>
      <c r="R13" s="54">
        <f t="shared" si="17"/>
        <v>0</v>
      </c>
      <c r="S13" s="54">
        <f t="shared" ref="S13:V13" si="18">$F13+O13</f>
        <v>0</v>
      </c>
      <c r="T13" s="54">
        <f t="shared" si="18"/>
        <v>3859.159658</v>
      </c>
      <c r="U13" s="54">
        <f t="shared" si="18"/>
        <v>0</v>
      </c>
      <c r="V13" s="54">
        <f t="shared" si="18"/>
        <v>3859.159658</v>
      </c>
      <c r="W13" s="11"/>
      <c r="X13" s="11"/>
      <c r="Y13" s="49">
        <f>Rep_Tri!A13</f>
        <v>2008</v>
      </c>
      <c r="Z13" s="50">
        <f>Rep_Tri!I13</f>
        <v>3507</v>
      </c>
      <c r="AA13" s="79">
        <f>Rep_Tri!I57</f>
        <v>1</v>
      </c>
      <c r="AB13" s="52">
        <f t="shared" si="1"/>
        <v>3507</v>
      </c>
      <c r="AC13" s="11"/>
      <c r="AD13" s="49">
        <f t="shared" si="2"/>
        <v>2008</v>
      </c>
      <c r="AE13" s="50">
        <f>Base_Indem_Sev!X13</f>
        <v>18741.8193</v>
      </c>
      <c r="AF13" s="79">
        <f>Base_Indem_Sev!X57</f>
        <v>1</v>
      </c>
      <c r="AG13" s="52">
        <f t="shared" si="3"/>
        <v>18741.8193</v>
      </c>
      <c r="AH13" s="11"/>
      <c r="AI13" s="49">
        <f t="shared" si="4"/>
        <v>2008</v>
      </c>
      <c r="AJ13" s="50">
        <f>Base_Med_Sev!X13</f>
        <v>20506.90897</v>
      </c>
      <c r="AK13" s="79">
        <f>Base_Med_Sev!X57</f>
        <v>1</v>
      </c>
      <c r="AL13" s="52">
        <f t="shared" si="5"/>
        <v>20506.90897</v>
      </c>
    </row>
    <row r="14" ht="12.75" customHeight="1">
      <c r="A14" s="11"/>
      <c r="B14" s="36">
        <f t="shared" si="10"/>
        <v>2005</v>
      </c>
      <c r="C14" s="54">
        <f>Summary!C13</f>
        <v>215000</v>
      </c>
      <c r="D14" s="54">
        <f t="shared" si="11"/>
        <v>142911.9039</v>
      </c>
      <c r="E14" s="54">
        <f t="shared" si="12"/>
        <v>148987.1422</v>
      </c>
      <c r="F14" s="54">
        <f t="shared" si="13"/>
        <v>6075.238328</v>
      </c>
      <c r="G14" s="54">
        <f>Summary!G13</f>
        <v>142911.9039</v>
      </c>
      <c r="H14" s="54">
        <f>Summary!H13</f>
        <v>148987.1422</v>
      </c>
      <c r="I14" s="54">
        <f t="shared" si="14"/>
        <v>142911.9039</v>
      </c>
      <c r="J14" s="54">
        <f t="shared" si="15"/>
        <v>148987.1422</v>
      </c>
      <c r="K14" s="55">
        <f t="shared" ref="K14:N14" si="19">G14/$C14</f>
        <v>0.6647065296</v>
      </c>
      <c r="L14" s="55">
        <f t="shared" si="19"/>
        <v>0.692963452</v>
      </c>
      <c r="M14" s="55">
        <f t="shared" si="19"/>
        <v>0.6647065296</v>
      </c>
      <c r="N14" s="55">
        <f t="shared" si="19"/>
        <v>0.692963452</v>
      </c>
      <c r="O14" s="54">
        <f t="shared" ref="O14:R14" si="20">G14-$E14</f>
        <v>-6075.238328</v>
      </c>
      <c r="P14" s="54">
        <f t="shared" si="20"/>
        <v>0</v>
      </c>
      <c r="Q14" s="54">
        <f t="shared" si="20"/>
        <v>-6075.238328</v>
      </c>
      <c r="R14" s="54">
        <f t="shared" si="20"/>
        <v>0</v>
      </c>
      <c r="S14" s="54">
        <f t="shared" ref="S14:V14" si="21">$F14+O14</f>
        <v>0</v>
      </c>
      <c r="T14" s="54">
        <f t="shared" si="21"/>
        <v>6075.238328</v>
      </c>
      <c r="U14" s="54">
        <f t="shared" si="21"/>
        <v>0</v>
      </c>
      <c r="V14" s="54">
        <f t="shared" si="21"/>
        <v>6075.238328</v>
      </c>
      <c r="W14" s="11"/>
      <c r="X14" s="11"/>
      <c r="Y14" s="49">
        <f>Rep_Tri!A14</f>
        <v>2009</v>
      </c>
      <c r="Z14" s="50">
        <f>Rep_Tri!H14</f>
        <v>3356</v>
      </c>
      <c r="AA14" s="79">
        <f>Rep_Tri!H57</f>
        <v>1</v>
      </c>
      <c r="AB14" s="52">
        <f t="shared" si="1"/>
        <v>3356</v>
      </c>
      <c r="AC14" s="11"/>
      <c r="AD14" s="49">
        <f t="shared" si="2"/>
        <v>2009</v>
      </c>
      <c r="AE14" s="50">
        <f>Base_Indem_Sev!W14</f>
        <v>20295.26521</v>
      </c>
      <c r="AF14" s="79">
        <f>Base_Indem_Sev!W57</f>
        <v>1</v>
      </c>
      <c r="AG14" s="52">
        <f t="shared" si="3"/>
        <v>20295.26521</v>
      </c>
      <c r="AH14" s="11"/>
      <c r="AI14" s="49">
        <f t="shared" si="4"/>
        <v>2009</v>
      </c>
      <c r="AJ14" s="50">
        <f>Base_Med_Sev!W14</f>
        <v>22501.85399</v>
      </c>
      <c r="AK14" s="79">
        <f>Base_Med_Sev!W57</f>
        <v>1</v>
      </c>
      <c r="AL14" s="52">
        <f t="shared" si="5"/>
        <v>22501.85399</v>
      </c>
    </row>
    <row r="15" ht="12.75" customHeight="1">
      <c r="A15" s="11"/>
      <c r="B15" s="36">
        <f t="shared" si="10"/>
        <v>2006</v>
      </c>
      <c r="C15" s="54">
        <f>Summary!C14</f>
        <v>225300</v>
      </c>
      <c r="D15" s="54">
        <f t="shared" si="11"/>
        <v>138109.8603</v>
      </c>
      <c r="E15" s="54">
        <f t="shared" si="12"/>
        <v>146037.7608</v>
      </c>
      <c r="F15" s="54">
        <f t="shared" si="13"/>
        <v>7927.900525</v>
      </c>
      <c r="G15" s="54">
        <f>Summary!G14</f>
        <v>138109.8603</v>
      </c>
      <c r="H15" s="54">
        <f>Summary!H14</f>
        <v>146037.7608</v>
      </c>
      <c r="I15" s="54">
        <f t="shared" si="14"/>
        <v>138109.8603</v>
      </c>
      <c r="J15" s="54">
        <f t="shared" si="15"/>
        <v>146037.7608</v>
      </c>
      <c r="K15" s="55">
        <f t="shared" ref="K15:N15" si="22">G15/$C15</f>
        <v>0.6130042624</v>
      </c>
      <c r="L15" s="55">
        <f t="shared" si="22"/>
        <v>0.6481924582</v>
      </c>
      <c r="M15" s="55">
        <f t="shared" si="22"/>
        <v>0.6130042624</v>
      </c>
      <c r="N15" s="55">
        <f t="shared" si="22"/>
        <v>0.6481924582</v>
      </c>
      <c r="O15" s="54">
        <f t="shared" ref="O15:R15" si="23">G15-$E15</f>
        <v>-7927.900525</v>
      </c>
      <c r="P15" s="54">
        <f t="shared" si="23"/>
        <v>0</v>
      </c>
      <c r="Q15" s="54">
        <f t="shared" si="23"/>
        <v>-7927.900525</v>
      </c>
      <c r="R15" s="54">
        <f t="shared" si="23"/>
        <v>0</v>
      </c>
      <c r="S15" s="54">
        <f t="shared" ref="S15:V15" si="24">$F15+O15</f>
        <v>0</v>
      </c>
      <c r="T15" s="54">
        <f t="shared" si="24"/>
        <v>7927.900525</v>
      </c>
      <c r="U15" s="54">
        <f t="shared" si="24"/>
        <v>0</v>
      </c>
      <c r="V15" s="54">
        <f t="shared" si="24"/>
        <v>7927.900525</v>
      </c>
      <c r="W15" s="11"/>
      <c r="X15" s="11"/>
      <c r="Y15" s="49">
        <f>Rep_Tri!A15</f>
        <v>2010</v>
      </c>
      <c r="Z15" s="50">
        <f>Rep_Tri!G15</f>
        <v>3192</v>
      </c>
      <c r="AA15" s="79">
        <f>Rep_Tri!G57</f>
        <v>1</v>
      </c>
      <c r="AB15" s="52">
        <f t="shared" si="1"/>
        <v>3192</v>
      </c>
      <c r="AC15" s="11"/>
      <c r="AD15" s="49">
        <f t="shared" si="2"/>
        <v>2010</v>
      </c>
      <c r="AE15" s="50">
        <f>Base_Indem_Sev!V15</f>
        <v>19575.56296</v>
      </c>
      <c r="AF15" s="79">
        <f>Base_Indem_Sev!V57</f>
        <v>1</v>
      </c>
      <c r="AG15" s="52">
        <f t="shared" si="3"/>
        <v>19575.56296</v>
      </c>
      <c r="AH15" s="11"/>
      <c r="AI15" s="49">
        <f t="shared" si="4"/>
        <v>2010</v>
      </c>
      <c r="AJ15" s="50">
        <f>Base_Med_Sev!V15</f>
        <v>23177.96143</v>
      </c>
      <c r="AK15" s="79">
        <f>Base_Med_Sev!V57</f>
        <v>1</v>
      </c>
      <c r="AL15" s="52">
        <f t="shared" si="5"/>
        <v>23177.96143</v>
      </c>
    </row>
    <row r="16" ht="12.75" customHeight="1">
      <c r="A16" s="11"/>
      <c r="B16" s="36">
        <f t="shared" si="10"/>
        <v>2007</v>
      </c>
      <c r="C16" s="54">
        <f>Summary!C15</f>
        <v>253500</v>
      </c>
      <c r="D16" s="54">
        <f t="shared" si="11"/>
        <v>138097.9654</v>
      </c>
      <c r="E16" s="54">
        <f t="shared" si="12"/>
        <v>146506.6852</v>
      </c>
      <c r="F16" s="54">
        <f t="shared" si="13"/>
        <v>8408.719764</v>
      </c>
      <c r="G16" s="54">
        <f>Summary!G15</f>
        <v>138097.9654</v>
      </c>
      <c r="H16" s="54">
        <f>Summary!H15</f>
        <v>146506.6852</v>
      </c>
      <c r="I16" s="54">
        <f t="shared" si="14"/>
        <v>138097.9654</v>
      </c>
      <c r="J16" s="54">
        <f t="shared" si="15"/>
        <v>146506.6852</v>
      </c>
      <c r="K16" s="55">
        <f t="shared" ref="K16:N16" si="25">G16/$C16</f>
        <v>0.5447651495</v>
      </c>
      <c r="L16" s="55">
        <f t="shared" si="25"/>
        <v>0.5779356416</v>
      </c>
      <c r="M16" s="55">
        <f t="shared" si="25"/>
        <v>0.5447651495</v>
      </c>
      <c r="N16" s="55">
        <f t="shared" si="25"/>
        <v>0.5779356416</v>
      </c>
      <c r="O16" s="54">
        <f t="shared" ref="O16:R16" si="26">G16-$E16</f>
        <v>-8408.719764</v>
      </c>
      <c r="P16" s="54">
        <f t="shared" si="26"/>
        <v>0</v>
      </c>
      <c r="Q16" s="54">
        <f t="shared" si="26"/>
        <v>-8408.719764</v>
      </c>
      <c r="R16" s="54">
        <f t="shared" si="26"/>
        <v>0</v>
      </c>
      <c r="S16" s="54">
        <f t="shared" ref="S16:V16" si="27">$F16+O16</f>
        <v>0</v>
      </c>
      <c r="T16" s="54">
        <f t="shared" si="27"/>
        <v>8408.719764</v>
      </c>
      <c r="U16" s="54">
        <f t="shared" si="27"/>
        <v>0</v>
      </c>
      <c r="V16" s="54">
        <f t="shared" si="27"/>
        <v>8408.719764</v>
      </c>
      <c r="W16" s="11"/>
      <c r="X16" s="11"/>
      <c r="Y16" s="49">
        <f>Rep_Tri!A16</f>
        <v>2011</v>
      </c>
      <c r="Z16" s="50">
        <f>Rep_Tri!F16</f>
        <v>3307</v>
      </c>
      <c r="AA16" s="79">
        <f>Rep_Tri!F57</f>
        <v>1</v>
      </c>
      <c r="AB16" s="52">
        <f t="shared" si="1"/>
        <v>3307</v>
      </c>
      <c r="AC16" s="11"/>
      <c r="AD16" s="49">
        <f t="shared" si="2"/>
        <v>2011</v>
      </c>
      <c r="AE16" s="50">
        <f>Base_Indem_Sev!U16</f>
        <v>18448.58276</v>
      </c>
      <c r="AF16" s="79">
        <f>Base_Indem_Sev!U57</f>
        <v>1</v>
      </c>
      <c r="AG16" s="52">
        <f t="shared" si="3"/>
        <v>18448.58276</v>
      </c>
      <c r="AH16" s="11"/>
      <c r="AI16" s="49">
        <f t="shared" si="4"/>
        <v>2011</v>
      </c>
      <c r="AJ16" s="50">
        <f>Base_Med_Sev!U16</f>
        <v>22971.99821</v>
      </c>
      <c r="AK16" s="79">
        <f>Base_Med_Sev!U57</f>
        <v>1</v>
      </c>
      <c r="AL16" s="52">
        <f t="shared" si="5"/>
        <v>22971.99821</v>
      </c>
    </row>
    <row r="17" ht="12.75" customHeight="1">
      <c r="A17" s="11"/>
      <c r="B17" s="36">
        <f t="shared" si="10"/>
        <v>2008</v>
      </c>
      <c r="C17" s="54">
        <f>Summary!C16</f>
        <v>253500</v>
      </c>
      <c r="D17" s="54">
        <f t="shared" si="11"/>
        <v>137645.29</v>
      </c>
      <c r="E17" s="54">
        <f t="shared" si="12"/>
        <v>146315.961</v>
      </c>
      <c r="F17" s="54">
        <f t="shared" si="13"/>
        <v>8670.671014</v>
      </c>
      <c r="G17" s="54">
        <f>Summary!G16</f>
        <v>137645.29</v>
      </c>
      <c r="H17" s="54">
        <f>Summary!H16</f>
        <v>146315.961</v>
      </c>
      <c r="I17" s="54">
        <f t="shared" si="14"/>
        <v>137645.29</v>
      </c>
      <c r="J17" s="54">
        <f t="shared" si="15"/>
        <v>146315.961</v>
      </c>
      <c r="K17" s="55">
        <f t="shared" ref="K17:N17" si="28">G17/$C17</f>
        <v>0.5429794478</v>
      </c>
      <c r="L17" s="55">
        <f t="shared" si="28"/>
        <v>0.5771832783</v>
      </c>
      <c r="M17" s="55">
        <f t="shared" si="28"/>
        <v>0.5429794478</v>
      </c>
      <c r="N17" s="55">
        <f t="shared" si="28"/>
        <v>0.5771832783</v>
      </c>
      <c r="O17" s="54">
        <f t="shared" ref="O17:R17" si="29">G17-$E17</f>
        <v>-8670.671014</v>
      </c>
      <c r="P17" s="54">
        <f t="shared" si="29"/>
        <v>0</v>
      </c>
      <c r="Q17" s="54">
        <f t="shared" si="29"/>
        <v>-8670.671014</v>
      </c>
      <c r="R17" s="54">
        <f t="shared" si="29"/>
        <v>0</v>
      </c>
      <c r="S17" s="54">
        <f t="shared" ref="S17:V17" si="30">$F17+O17</f>
        <v>0</v>
      </c>
      <c r="T17" s="54">
        <f t="shared" si="30"/>
        <v>8670.671014</v>
      </c>
      <c r="U17" s="54">
        <f t="shared" si="30"/>
        <v>0</v>
      </c>
      <c r="V17" s="54">
        <f t="shared" si="30"/>
        <v>8670.671014</v>
      </c>
      <c r="W17" s="11"/>
      <c r="X17" s="11"/>
      <c r="Y17" s="49">
        <f>Rep_Tri!A17</f>
        <v>2012</v>
      </c>
      <c r="Z17" s="50">
        <f>Rep_Tri!E17</f>
        <v>3279</v>
      </c>
      <c r="AA17" s="79">
        <f>Rep_Tri!E57</f>
        <v>1</v>
      </c>
      <c r="AB17" s="52">
        <f t="shared" si="1"/>
        <v>3279</v>
      </c>
      <c r="AC17" s="11"/>
      <c r="AD17" s="49">
        <f t="shared" si="2"/>
        <v>2012</v>
      </c>
      <c r="AE17" s="50">
        <f>Base_Indem_Sev!T17</f>
        <v>18920.82154</v>
      </c>
      <c r="AF17" s="79">
        <f>Base_Indem_Sev!T57</f>
        <v>1</v>
      </c>
      <c r="AG17" s="52">
        <f t="shared" si="3"/>
        <v>18920.82154</v>
      </c>
      <c r="AH17" s="11"/>
      <c r="AI17" s="49">
        <f t="shared" si="4"/>
        <v>2012</v>
      </c>
      <c r="AJ17" s="50">
        <f>Base_Med_Sev!T17</f>
        <v>27142.0027</v>
      </c>
      <c r="AK17" s="79">
        <f>Base_Med_Sev!T57</f>
        <v>1</v>
      </c>
      <c r="AL17" s="52">
        <f t="shared" si="5"/>
        <v>27142.0027</v>
      </c>
    </row>
    <row r="18" ht="12.75" customHeight="1">
      <c r="A18" s="11"/>
      <c r="B18" s="36">
        <f t="shared" si="10"/>
        <v>2009</v>
      </c>
      <c r="C18" s="54">
        <f>Summary!C17</f>
        <v>267200</v>
      </c>
      <c r="D18" s="54">
        <f t="shared" si="11"/>
        <v>143627.132</v>
      </c>
      <c r="E18" s="54">
        <f t="shared" si="12"/>
        <v>154924.6954</v>
      </c>
      <c r="F18" s="54">
        <f t="shared" si="13"/>
        <v>11297.56336</v>
      </c>
      <c r="G18" s="54">
        <f>Summary!G17</f>
        <v>143627.132</v>
      </c>
      <c r="H18" s="54">
        <f>Summary!H17</f>
        <v>154924.6954</v>
      </c>
      <c r="I18" s="54">
        <f t="shared" si="14"/>
        <v>143627.132</v>
      </c>
      <c r="J18" s="54">
        <f t="shared" si="15"/>
        <v>154924.6954</v>
      </c>
      <c r="K18" s="55">
        <f t="shared" ref="K18:N18" si="31">G18/$C18</f>
        <v>0.5375266917</v>
      </c>
      <c r="L18" s="55">
        <f t="shared" si="31"/>
        <v>0.5798079918</v>
      </c>
      <c r="M18" s="55">
        <f t="shared" si="31"/>
        <v>0.5375266917</v>
      </c>
      <c r="N18" s="55">
        <f t="shared" si="31"/>
        <v>0.5798079918</v>
      </c>
      <c r="O18" s="54">
        <f t="shared" ref="O18:R18" si="32">G18-$E18</f>
        <v>-11297.56336</v>
      </c>
      <c r="P18" s="54">
        <f t="shared" si="32"/>
        <v>0</v>
      </c>
      <c r="Q18" s="54">
        <f t="shared" si="32"/>
        <v>-11297.56336</v>
      </c>
      <c r="R18" s="54">
        <f t="shared" si="32"/>
        <v>0</v>
      </c>
      <c r="S18" s="54">
        <f t="shared" ref="S18:V18" si="33">$F18+O18</f>
        <v>0</v>
      </c>
      <c r="T18" s="54">
        <f t="shared" si="33"/>
        <v>11297.56336</v>
      </c>
      <c r="U18" s="54">
        <f t="shared" si="33"/>
        <v>0</v>
      </c>
      <c r="V18" s="54">
        <f t="shared" si="33"/>
        <v>11297.56336</v>
      </c>
      <c r="W18" s="11"/>
      <c r="X18" s="11"/>
      <c r="Y18" s="49">
        <f>Rep_Tri!A18</f>
        <v>2013</v>
      </c>
      <c r="Z18" s="50">
        <f>Rep_Tri!D18</f>
        <v>3085</v>
      </c>
      <c r="AA18" s="79">
        <f>Rep_Tri!D57</f>
        <v>1</v>
      </c>
      <c r="AB18" s="52">
        <f t="shared" si="1"/>
        <v>3085</v>
      </c>
      <c r="AC18" s="11"/>
      <c r="AD18" s="49">
        <f t="shared" si="2"/>
        <v>2013</v>
      </c>
      <c r="AE18" s="50">
        <f>Base_Indem_Sev!S18</f>
        <v>13341.97654</v>
      </c>
      <c r="AF18" s="79">
        <f>Base_Indem_Sev!S57</f>
        <v>1</v>
      </c>
      <c r="AG18" s="52">
        <f t="shared" si="3"/>
        <v>13341.97654</v>
      </c>
      <c r="AH18" s="11"/>
      <c r="AI18" s="49">
        <f t="shared" si="4"/>
        <v>2013</v>
      </c>
      <c r="AJ18" s="50">
        <f>Base_Med_Sev!S18</f>
        <v>22487.76443</v>
      </c>
      <c r="AK18" s="79">
        <f>Base_Med_Sev!S57</f>
        <v>1</v>
      </c>
      <c r="AL18" s="52">
        <f t="shared" si="5"/>
        <v>22487.76443</v>
      </c>
    </row>
    <row r="19" ht="12.75" customHeight="1">
      <c r="A19" s="11"/>
      <c r="B19" s="36">
        <f t="shared" si="10"/>
        <v>2010</v>
      </c>
      <c r="C19" s="54">
        <f>Summary!C18</f>
        <v>227700</v>
      </c>
      <c r="D19" s="54">
        <f t="shared" si="11"/>
        <v>136469.2498</v>
      </c>
      <c r="E19" s="54">
        <f t="shared" si="12"/>
        <v>150887.7865</v>
      </c>
      <c r="F19" s="54">
        <f t="shared" si="13"/>
        <v>14418.53661</v>
      </c>
      <c r="G19" s="54">
        <f>Summary!G18</f>
        <v>136469.2498</v>
      </c>
      <c r="H19" s="54">
        <f>Summary!H18</f>
        <v>150887.7865</v>
      </c>
      <c r="I19" s="54">
        <f t="shared" si="14"/>
        <v>136469.2498</v>
      </c>
      <c r="J19" s="54">
        <f t="shared" si="15"/>
        <v>150887.7865</v>
      </c>
      <c r="K19" s="55">
        <f t="shared" ref="K19:N19" si="34">G19/$C19</f>
        <v>0.599337944</v>
      </c>
      <c r="L19" s="55">
        <f t="shared" si="34"/>
        <v>0.6626604587</v>
      </c>
      <c r="M19" s="55">
        <f t="shared" si="34"/>
        <v>0.599337944</v>
      </c>
      <c r="N19" s="55">
        <f t="shared" si="34"/>
        <v>0.6626604587</v>
      </c>
      <c r="O19" s="54">
        <f t="shared" ref="O19:R19" si="35">G19-$E19</f>
        <v>-14418.53661</v>
      </c>
      <c r="P19" s="54">
        <f t="shared" si="35"/>
        <v>0</v>
      </c>
      <c r="Q19" s="54">
        <f t="shared" si="35"/>
        <v>-14418.53661</v>
      </c>
      <c r="R19" s="54">
        <f t="shared" si="35"/>
        <v>0</v>
      </c>
      <c r="S19" s="54">
        <f t="shared" ref="S19:V19" si="36">$F19+O19</f>
        <v>0</v>
      </c>
      <c r="T19" s="54">
        <f t="shared" si="36"/>
        <v>14418.53661</v>
      </c>
      <c r="U19" s="54">
        <f t="shared" si="36"/>
        <v>0</v>
      </c>
      <c r="V19" s="54">
        <f t="shared" si="36"/>
        <v>14418.53661</v>
      </c>
      <c r="W19" s="11"/>
      <c r="X19" s="11"/>
      <c r="Y19" s="49">
        <f>Rep_Tri!A19</f>
        <v>2014</v>
      </c>
      <c r="Z19" s="50">
        <f>Rep_Tri!C19</f>
        <v>2934</v>
      </c>
      <c r="AA19" s="79">
        <f>Rep_Tri!C57</f>
        <v>1</v>
      </c>
      <c r="AB19" s="52">
        <f t="shared" si="1"/>
        <v>2934</v>
      </c>
      <c r="AC19" s="11"/>
      <c r="AD19" s="49">
        <f t="shared" si="2"/>
        <v>2014</v>
      </c>
      <c r="AE19" s="50">
        <f>Base_Indem_Sev!R19</f>
        <v>9030.415162</v>
      </c>
      <c r="AF19" s="79">
        <f>Base_Indem_Sev!R57</f>
        <v>1</v>
      </c>
      <c r="AG19" s="52">
        <f t="shared" si="3"/>
        <v>9030.415162</v>
      </c>
      <c r="AH19" s="11"/>
      <c r="AI19" s="49">
        <f t="shared" si="4"/>
        <v>2014</v>
      </c>
      <c r="AJ19" s="50">
        <f>Base_Med_Sev!R19</f>
        <v>21951.60525</v>
      </c>
      <c r="AK19" s="79">
        <f>Base_Med_Sev!R57</f>
        <v>1</v>
      </c>
      <c r="AL19" s="52">
        <f t="shared" si="5"/>
        <v>21951.60525</v>
      </c>
    </row>
    <row r="20" ht="12.75" customHeight="1">
      <c r="A20" s="11"/>
      <c r="B20" s="36">
        <f t="shared" si="10"/>
        <v>2011</v>
      </c>
      <c r="C20" s="54">
        <f>Summary!C19</f>
        <v>225800</v>
      </c>
      <c r="D20" s="54">
        <f t="shared" si="11"/>
        <v>136977.8613</v>
      </c>
      <c r="E20" s="54">
        <f t="shared" si="12"/>
        <v>157390.3654</v>
      </c>
      <c r="F20" s="54">
        <f t="shared" si="13"/>
        <v>20412.50408</v>
      </c>
      <c r="G20" s="54">
        <f>Summary!G19</f>
        <v>136977.8613</v>
      </c>
      <c r="H20" s="54">
        <f>Summary!H19</f>
        <v>157390.3654</v>
      </c>
      <c r="I20" s="54">
        <f t="shared" si="14"/>
        <v>136977.8613</v>
      </c>
      <c r="J20" s="54">
        <f t="shared" si="15"/>
        <v>157390.3654</v>
      </c>
      <c r="K20" s="55">
        <f t="shared" ref="K20:N20" si="37">G20/$C20</f>
        <v>0.6066335752</v>
      </c>
      <c r="L20" s="55">
        <f t="shared" si="37"/>
        <v>0.6970343904</v>
      </c>
      <c r="M20" s="55">
        <f t="shared" si="37"/>
        <v>0.6066335752</v>
      </c>
      <c r="N20" s="55">
        <f t="shared" si="37"/>
        <v>0.6970343904</v>
      </c>
      <c r="O20" s="54">
        <f t="shared" ref="O20:R20" si="38">G20-$E20</f>
        <v>-20412.50408</v>
      </c>
      <c r="P20" s="54">
        <f t="shared" si="38"/>
        <v>0</v>
      </c>
      <c r="Q20" s="54">
        <f t="shared" si="38"/>
        <v>-20412.50408</v>
      </c>
      <c r="R20" s="54">
        <f t="shared" si="38"/>
        <v>0</v>
      </c>
      <c r="S20" s="54">
        <f t="shared" ref="S20:V20" si="39">$F20+O20</f>
        <v>0</v>
      </c>
      <c r="T20" s="54">
        <f t="shared" si="39"/>
        <v>20412.50408</v>
      </c>
      <c r="U20" s="54">
        <f t="shared" si="39"/>
        <v>0</v>
      </c>
      <c r="V20" s="54">
        <f t="shared" si="39"/>
        <v>20412.50408</v>
      </c>
      <c r="W20" s="11"/>
      <c r="X20" s="11"/>
      <c r="Y20" s="56">
        <f>Rep_Tri!A20</f>
        <v>2015</v>
      </c>
      <c r="Z20" s="57">
        <f>Rep_Tri!B20</f>
        <v>2538</v>
      </c>
      <c r="AA20" s="80">
        <f>Rep_Tri!B57</f>
        <v>1</v>
      </c>
      <c r="AB20" s="59">
        <f t="shared" si="1"/>
        <v>2538</v>
      </c>
      <c r="AC20" s="11"/>
      <c r="AD20" s="56">
        <f t="shared" si="2"/>
        <v>2015</v>
      </c>
      <c r="AE20" s="57">
        <f>Base_Indem_Sev!Q20</f>
        <v>3799.837848</v>
      </c>
      <c r="AF20" s="80">
        <f>Base_Indem_Sev!Q57</f>
        <v>1</v>
      </c>
      <c r="AG20" s="59">
        <f t="shared" si="3"/>
        <v>3799.837848</v>
      </c>
      <c r="AH20" s="11"/>
      <c r="AI20" s="56">
        <f t="shared" si="4"/>
        <v>2015</v>
      </c>
      <c r="AJ20" s="57">
        <f>Base_Med_Sev!Q20</f>
        <v>12953.74845</v>
      </c>
      <c r="AK20" s="80">
        <f>Base_Med_Sev!Q57</f>
        <v>1</v>
      </c>
      <c r="AL20" s="59">
        <f t="shared" si="5"/>
        <v>12953.74845</v>
      </c>
    </row>
    <row r="21" ht="12.75" customHeight="1">
      <c r="A21" s="11"/>
      <c r="B21" s="36">
        <f t="shared" si="10"/>
        <v>2012</v>
      </c>
      <c r="C21" s="54">
        <f>Summary!C20</f>
        <v>231900</v>
      </c>
      <c r="D21" s="54">
        <f t="shared" si="11"/>
        <v>151040.0007</v>
      </c>
      <c r="E21" s="54">
        <f t="shared" si="12"/>
        <v>180451.432</v>
      </c>
      <c r="F21" s="54">
        <f t="shared" si="13"/>
        <v>29411.43135</v>
      </c>
      <c r="G21" s="54">
        <f>Summary!G20</f>
        <v>151040.0007</v>
      </c>
      <c r="H21" s="54">
        <f>Summary!H20</f>
        <v>180451.432</v>
      </c>
      <c r="I21" s="54">
        <f t="shared" si="14"/>
        <v>151040.0007</v>
      </c>
      <c r="J21" s="54">
        <f t="shared" si="15"/>
        <v>180451.432</v>
      </c>
      <c r="K21" s="55">
        <f t="shared" ref="K21:N21" si="40">G21/$C21</f>
        <v>0.6513152251</v>
      </c>
      <c r="L21" s="55">
        <f t="shared" si="40"/>
        <v>0.7781433033</v>
      </c>
      <c r="M21" s="55">
        <f t="shared" si="40"/>
        <v>0.6513152251</v>
      </c>
      <c r="N21" s="55">
        <f t="shared" si="40"/>
        <v>0.7781433033</v>
      </c>
      <c r="O21" s="54">
        <f t="shared" ref="O21:R21" si="41">G21-$E21</f>
        <v>-29411.43135</v>
      </c>
      <c r="P21" s="54">
        <f t="shared" si="41"/>
        <v>0</v>
      </c>
      <c r="Q21" s="54">
        <f t="shared" si="41"/>
        <v>-29411.43135</v>
      </c>
      <c r="R21" s="54">
        <f t="shared" si="41"/>
        <v>0</v>
      </c>
      <c r="S21" s="54">
        <f t="shared" ref="S21:V21" si="42">$F21+O21</f>
        <v>0</v>
      </c>
      <c r="T21" s="54">
        <f t="shared" si="42"/>
        <v>29411.43135</v>
      </c>
      <c r="U21" s="54">
        <f t="shared" si="42"/>
        <v>0</v>
      </c>
      <c r="V21" s="54">
        <f t="shared" si="42"/>
        <v>29411.43135</v>
      </c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ht="12.75" customHeight="1">
      <c r="A22" s="11"/>
      <c r="B22" s="36">
        <f t="shared" si="10"/>
        <v>2013</v>
      </c>
      <c r="C22" s="54">
        <f>Summary!C21</f>
        <v>230100</v>
      </c>
      <c r="D22" s="54">
        <f t="shared" si="11"/>
        <v>110534.7509</v>
      </c>
      <c r="E22" s="54">
        <f t="shared" si="12"/>
        <v>148527.8909</v>
      </c>
      <c r="F22" s="54">
        <f t="shared" si="13"/>
        <v>37993.14005</v>
      </c>
      <c r="G22" s="54">
        <f>Summary!G21</f>
        <v>110534.7509</v>
      </c>
      <c r="H22" s="54">
        <f>Summary!H21</f>
        <v>148527.8909</v>
      </c>
      <c r="I22" s="54">
        <f t="shared" si="14"/>
        <v>110534.7509</v>
      </c>
      <c r="J22" s="54">
        <f t="shared" si="15"/>
        <v>148527.8909</v>
      </c>
      <c r="K22" s="55">
        <f t="shared" ref="K22:N22" si="43">G22/$C22</f>
        <v>0.4803770139</v>
      </c>
      <c r="L22" s="55">
        <f t="shared" si="43"/>
        <v>0.6454927899</v>
      </c>
      <c r="M22" s="55">
        <f t="shared" si="43"/>
        <v>0.4803770139</v>
      </c>
      <c r="N22" s="55">
        <f t="shared" si="43"/>
        <v>0.6454927899</v>
      </c>
      <c r="O22" s="54">
        <f t="shared" ref="O22:R22" si="44">G22-$E22</f>
        <v>-37993.14005</v>
      </c>
      <c r="P22" s="54">
        <f t="shared" si="44"/>
        <v>0</v>
      </c>
      <c r="Q22" s="54">
        <f t="shared" si="44"/>
        <v>-37993.14005</v>
      </c>
      <c r="R22" s="54">
        <f t="shared" si="44"/>
        <v>0</v>
      </c>
      <c r="S22" s="54">
        <f t="shared" ref="S22:V22" si="45">$F22+O22</f>
        <v>0</v>
      </c>
      <c r="T22" s="54">
        <f t="shared" si="45"/>
        <v>37993.14005</v>
      </c>
      <c r="U22" s="54">
        <f t="shared" si="45"/>
        <v>0</v>
      </c>
      <c r="V22" s="54">
        <f t="shared" si="45"/>
        <v>37993.14005</v>
      </c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ht="12.75" customHeight="1">
      <c r="A23" s="11"/>
      <c r="B23" s="36">
        <f t="shared" si="10"/>
        <v>2014</v>
      </c>
      <c r="C23" s="54">
        <f>Summary!C22</f>
        <v>253100</v>
      </c>
      <c r="D23" s="54">
        <f t="shared" si="11"/>
        <v>90901.24789</v>
      </c>
      <c r="E23" s="54">
        <f t="shared" si="12"/>
        <v>143202.8484</v>
      </c>
      <c r="F23" s="54">
        <f t="shared" si="13"/>
        <v>52301.60048</v>
      </c>
      <c r="G23" s="54">
        <f>Summary!G22</f>
        <v>90901.24789</v>
      </c>
      <c r="H23" s="54">
        <f>Summary!H22</f>
        <v>143202.8484</v>
      </c>
      <c r="I23" s="54">
        <f t="shared" si="14"/>
        <v>90901.24789</v>
      </c>
      <c r="J23" s="54">
        <f t="shared" si="15"/>
        <v>143202.8484</v>
      </c>
      <c r="K23" s="55">
        <f t="shared" ref="K23:N23" si="46">G23/$C23</f>
        <v>0.3591515128</v>
      </c>
      <c r="L23" s="55">
        <f t="shared" si="46"/>
        <v>0.5657955289</v>
      </c>
      <c r="M23" s="55">
        <f t="shared" si="46"/>
        <v>0.3591515128</v>
      </c>
      <c r="N23" s="55">
        <f t="shared" si="46"/>
        <v>0.5657955289</v>
      </c>
      <c r="O23" s="54">
        <f t="shared" ref="O23:R23" si="47">G23-$E23</f>
        <v>-52301.60048</v>
      </c>
      <c r="P23" s="54">
        <f t="shared" si="47"/>
        <v>0</v>
      </c>
      <c r="Q23" s="54">
        <f t="shared" si="47"/>
        <v>-52301.60048</v>
      </c>
      <c r="R23" s="54">
        <f t="shared" si="47"/>
        <v>0</v>
      </c>
      <c r="S23" s="54">
        <f t="shared" ref="S23:V23" si="48">$F23+O23</f>
        <v>0</v>
      </c>
      <c r="T23" s="54">
        <f t="shared" si="48"/>
        <v>52301.60048</v>
      </c>
      <c r="U23" s="54">
        <f t="shared" si="48"/>
        <v>0</v>
      </c>
      <c r="V23" s="54">
        <f t="shared" si="48"/>
        <v>52301.60048</v>
      </c>
      <c r="W23" s="11"/>
      <c r="X23" s="11"/>
      <c r="Y23" s="11"/>
      <c r="Z23" s="11"/>
      <c r="AA23" s="11"/>
      <c r="AB23" s="11"/>
      <c r="AC23" s="11"/>
      <c r="AD23" s="33" t="s">
        <v>90</v>
      </c>
      <c r="AE23" s="11"/>
      <c r="AF23" s="11"/>
      <c r="AG23" s="11"/>
      <c r="AH23" s="11"/>
      <c r="AI23" s="33" t="s">
        <v>90</v>
      </c>
      <c r="AJ23" s="11"/>
      <c r="AK23" s="11"/>
      <c r="AL23" s="11"/>
    </row>
    <row r="24" ht="12.75" customHeight="1">
      <c r="A24" s="11"/>
      <c r="B24" s="36">
        <f t="shared" si="10"/>
        <v>2015</v>
      </c>
      <c r="C24" s="54">
        <f>Summary!C23</f>
        <v>269000</v>
      </c>
      <c r="D24" s="54">
        <f t="shared" si="11"/>
        <v>42520.60203</v>
      </c>
      <c r="E24" s="54">
        <f t="shared" si="12"/>
        <v>109127.5899</v>
      </c>
      <c r="F24" s="54">
        <f t="shared" si="13"/>
        <v>66606.9879</v>
      </c>
      <c r="G24" s="54">
        <f>Summary!G23</f>
        <v>42520.60203</v>
      </c>
      <c r="H24" s="54">
        <f>Summary!H23</f>
        <v>109127.5899</v>
      </c>
      <c r="I24" s="54">
        <f t="shared" si="14"/>
        <v>42520.60203</v>
      </c>
      <c r="J24" s="54">
        <f t="shared" si="15"/>
        <v>109127.5899</v>
      </c>
      <c r="K24" s="55">
        <f t="shared" ref="K24:N24" si="49">G24/$C24</f>
        <v>0.1580691525</v>
      </c>
      <c r="L24" s="55">
        <f t="shared" si="49"/>
        <v>0.405678773</v>
      </c>
      <c r="M24" s="55">
        <f t="shared" si="49"/>
        <v>0.1580691525</v>
      </c>
      <c r="N24" s="55">
        <f t="shared" si="49"/>
        <v>0.405678773</v>
      </c>
      <c r="O24" s="54">
        <f t="shared" ref="O24:R24" si="50">G24-$E24</f>
        <v>-66606.9879</v>
      </c>
      <c r="P24" s="54">
        <f t="shared" si="50"/>
        <v>0</v>
      </c>
      <c r="Q24" s="54">
        <f t="shared" si="50"/>
        <v>-66606.9879</v>
      </c>
      <c r="R24" s="54">
        <f t="shared" si="50"/>
        <v>0</v>
      </c>
      <c r="S24" s="54">
        <f t="shared" ref="S24:V24" si="51">$F24+O24</f>
        <v>0</v>
      </c>
      <c r="T24" s="54">
        <f t="shared" si="51"/>
        <v>66606.9879</v>
      </c>
      <c r="U24" s="54">
        <f t="shared" si="51"/>
        <v>0</v>
      </c>
      <c r="V24" s="54">
        <f t="shared" si="51"/>
        <v>66606.9879</v>
      </c>
      <c r="W24" s="11"/>
      <c r="X24" s="11"/>
      <c r="Y24" s="11"/>
      <c r="Z24" s="11"/>
      <c r="AA24" s="11"/>
      <c r="AB24" s="11"/>
      <c r="AC24" s="11"/>
      <c r="AD24" s="33" t="s">
        <v>128</v>
      </c>
      <c r="AE24" s="11"/>
      <c r="AF24" s="11"/>
      <c r="AG24" s="11"/>
      <c r="AH24" s="11"/>
      <c r="AI24" s="33" t="s">
        <v>129</v>
      </c>
      <c r="AJ24" s="11"/>
      <c r="AK24" s="11"/>
      <c r="AL24" s="11"/>
    </row>
    <row r="25" ht="12.75" customHeight="1">
      <c r="A25" s="11"/>
      <c r="B25" s="3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ht="12.75" customHeight="1">
      <c r="A26" s="11"/>
      <c r="B26" s="36" t="s">
        <v>91</v>
      </c>
      <c r="C26" s="54">
        <f t="shared" ref="C26:J26" si="52">SUM(C12:C24)</f>
        <v>3069200</v>
      </c>
      <c r="D26" s="54">
        <f t="shared" si="52"/>
        <v>1662632.455</v>
      </c>
      <c r="E26" s="54">
        <f t="shared" si="52"/>
        <v>1930015.908</v>
      </c>
      <c r="F26" s="54">
        <f t="shared" si="52"/>
        <v>267383.4531</v>
      </c>
      <c r="G26" s="54">
        <f t="shared" si="52"/>
        <v>1662632.455</v>
      </c>
      <c r="H26" s="54">
        <f t="shared" si="52"/>
        <v>1930015.908</v>
      </c>
      <c r="I26" s="54">
        <f t="shared" si="52"/>
        <v>1662632.455</v>
      </c>
      <c r="J26" s="54">
        <f t="shared" si="52"/>
        <v>1930015.908</v>
      </c>
      <c r="K26" s="55">
        <f t="shared" ref="K26:N26" si="53">G26/$C26</f>
        <v>0.541715253</v>
      </c>
      <c r="L26" s="55">
        <f t="shared" si="53"/>
        <v>0.6288335422</v>
      </c>
      <c r="M26" s="55">
        <f t="shared" si="53"/>
        <v>0.541715253</v>
      </c>
      <c r="N26" s="55">
        <f t="shared" si="53"/>
        <v>0.6288335422</v>
      </c>
      <c r="O26" s="54">
        <f t="shared" ref="O26:V26" si="54">SUM(O12:O24)</f>
        <v>-267383.4531</v>
      </c>
      <c r="P26" s="54">
        <f t="shared" si="54"/>
        <v>0</v>
      </c>
      <c r="Q26" s="54">
        <f t="shared" si="54"/>
        <v>-267383.4531</v>
      </c>
      <c r="R26" s="54">
        <f t="shared" si="54"/>
        <v>0</v>
      </c>
      <c r="S26" s="54">
        <f t="shared" si="54"/>
        <v>0</v>
      </c>
      <c r="T26" s="54">
        <f t="shared" si="54"/>
        <v>267383.4531</v>
      </c>
      <c r="U26" s="54">
        <f t="shared" si="54"/>
        <v>0</v>
      </c>
      <c r="V26" s="54">
        <f t="shared" si="54"/>
        <v>267383.4531</v>
      </c>
      <c r="W26" s="11"/>
      <c r="X26" s="11"/>
      <c r="Y26" s="11"/>
      <c r="Z26" s="11"/>
      <c r="AA26" s="11"/>
      <c r="AB26" s="11"/>
      <c r="AC26" s="11"/>
      <c r="AD26" s="42" t="s">
        <v>74</v>
      </c>
      <c r="AE26" s="43" t="s">
        <v>89</v>
      </c>
      <c r="AF26" s="44" t="s">
        <v>76</v>
      </c>
      <c r="AG26" s="44" t="s">
        <v>77</v>
      </c>
      <c r="AH26" s="11"/>
      <c r="AI26" s="42" t="s">
        <v>74</v>
      </c>
      <c r="AJ26" s="43" t="s">
        <v>89</v>
      </c>
      <c r="AK26" s="44" t="s">
        <v>76</v>
      </c>
      <c r="AL26" s="44" t="s">
        <v>77</v>
      </c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45" t="s">
        <v>84</v>
      </c>
      <c r="AE27" s="46" t="s">
        <v>132</v>
      </c>
      <c r="AF27" s="47" t="s">
        <v>86</v>
      </c>
      <c r="AG27" s="47" t="s">
        <v>132</v>
      </c>
      <c r="AH27" s="11"/>
      <c r="AI27" s="45" t="s">
        <v>84</v>
      </c>
      <c r="AJ27" s="46" t="s">
        <v>132</v>
      </c>
      <c r="AK27" s="47" t="s">
        <v>86</v>
      </c>
      <c r="AL27" s="47" t="s">
        <v>132</v>
      </c>
    </row>
    <row r="28" ht="12.75" customHeight="1">
      <c r="A28" s="11"/>
      <c r="B28" s="53">
        <v>-1.0</v>
      </c>
      <c r="C28" s="11" t="s">
        <v>92</v>
      </c>
      <c r="D28" s="11"/>
      <c r="E28" s="11"/>
      <c r="F28" s="53">
        <f>B34-1</f>
        <v>-8</v>
      </c>
      <c r="G28" s="11" t="s">
        <v>99</v>
      </c>
      <c r="H28" s="11"/>
      <c r="I28" s="11"/>
      <c r="J28" s="53">
        <f>F34-1</f>
        <v>-15</v>
      </c>
      <c r="K28" s="60" t="s">
        <v>96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AA28" s="11"/>
      <c r="AB28" s="11"/>
      <c r="AC28" s="11"/>
      <c r="AD28" s="49">
        <f t="shared" ref="AD28:AD40" si="55">AD8</f>
        <v>2003</v>
      </c>
      <c r="AE28" s="50">
        <f>Base_Indem_Sev!N8</f>
        <v>16513</v>
      </c>
      <c r="AF28" s="79">
        <f>Base_Indem_Sev!$N$57</f>
        <v>1</v>
      </c>
      <c r="AG28" s="52">
        <f t="shared" ref="AG28:AG40" si="56">AE28*AF28</f>
        <v>16513</v>
      </c>
      <c r="AH28" s="11"/>
      <c r="AI28" s="49">
        <f t="shared" ref="AI28:AI40" si="57">AD28</f>
        <v>2003</v>
      </c>
      <c r="AJ28" s="50">
        <f>Base_Med_Sev!N8</f>
        <v>17187</v>
      </c>
      <c r="AK28" s="79">
        <f>Base_Med_Sev!$N$57</f>
        <v>1</v>
      </c>
      <c r="AL28" s="52">
        <f t="shared" ref="AL28:AL40" si="58">AJ28*AK28</f>
        <v>17187</v>
      </c>
    </row>
    <row r="29" ht="12.75" customHeight="1">
      <c r="A29" s="11"/>
      <c r="B29" s="53">
        <f t="shared" ref="B29:B34" si="59">B28-1</f>
        <v>-2</v>
      </c>
      <c r="C29" s="11" t="s">
        <v>92</v>
      </c>
      <c r="D29" s="11"/>
      <c r="E29" s="11"/>
      <c r="F29" s="53">
        <f t="shared" ref="F29:F34" si="60">F28-1</f>
        <v>-9</v>
      </c>
      <c r="G29" s="11" t="s">
        <v>99</v>
      </c>
      <c r="H29" s="11"/>
      <c r="I29" s="11"/>
      <c r="J29" s="53">
        <f t="shared" ref="J29:J34" si="61">J28-1</f>
        <v>-16</v>
      </c>
      <c r="K29" s="60" t="s">
        <v>135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49">
        <f t="shared" si="55"/>
        <v>2004</v>
      </c>
      <c r="AE29" s="50">
        <f>Base_Indem_Sev!M9</f>
        <v>17717.42</v>
      </c>
      <c r="AF29" s="79">
        <f>Base_Indem_Sev!M57</f>
        <v>1</v>
      </c>
      <c r="AG29" s="52">
        <f t="shared" si="56"/>
        <v>17717.42</v>
      </c>
      <c r="AH29" s="11"/>
      <c r="AI29" s="49">
        <f t="shared" si="57"/>
        <v>2004</v>
      </c>
      <c r="AJ29" s="50">
        <f>Base_Med_Sev!M9</f>
        <v>18440.58</v>
      </c>
      <c r="AK29" s="79">
        <f>Base_Med_Sev!M57</f>
        <v>1</v>
      </c>
      <c r="AL29" s="52">
        <f t="shared" si="58"/>
        <v>18440.58</v>
      </c>
    </row>
    <row r="30" ht="12.75" customHeight="1">
      <c r="A30" s="11"/>
      <c r="B30" s="53">
        <f t="shared" si="59"/>
        <v>-3</v>
      </c>
      <c r="C30" s="11" t="s">
        <v>92</v>
      </c>
      <c r="D30" s="11"/>
      <c r="E30" s="11"/>
      <c r="F30" s="53">
        <f t="shared" si="60"/>
        <v>-10</v>
      </c>
      <c r="G30" s="60" t="s">
        <v>93</v>
      </c>
      <c r="H30" s="11"/>
      <c r="I30" s="11"/>
      <c r="J30" s="53">
        <f t="shared" si="61"/>
        <v>-17</v>
      </c>
      <c r="K30" s="60" t="s">
        <v>136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49">
        <f t="shared" si="55"/>
        <v>2005</v>
      </c>
      <c r="AE30" s="50">
        <f>Base_Indem_Sev!L10</f>
        <v>17421.32814</v>
      </c>
      <c r="AF30" s="79">
        <f>Base_Indem_Sev!L57</f>
        <v>1</v>
      </c>
      <c r="AG30" s="52">
        <f t="shared" si="56"/>
        <v>17421.32814</v>
      </c>
      <c r="AH30" s="11"/>
      <c r="AI30" s="49">
        <f t="shared" si="57"/>
        <v>2005</v>
      </c>
      <c r="AJ30" s="50">
        <f>Base_Med_Sev!L10</f>
        <v>19640.15002</v>
      </c>
      <c r="AK30" s="79">
        <f>Base_Med_Sev!L57</f>
        <v>1</v>
      </c>
      <c r="AL30" s="52">
        <f t="shared" si="58"/>
        <v>19640.15002</v>
      </c>
    </row>
    <row r="31" ht="12.75" customHeight="1">
      <c r="A31" s="11"/>
      <c r="B31" s="53">
        <f t="shared" si="59"/>
        <v>-4</v>
      </c>
      <c r="C31" s="11" t="s">
        <v>92</v>
      </c>
      <c r="D31" s="11"/>
      <c r="E31" s="11"/>
      <c r="F31" s="53">
        <f t="shared" si="60"/>
        <v>-11</v>
      </c>
      <c r="G31" s="60" t="s">
        <v>94</v>
      </c>
      <c r="H31" s="11"/>
      <c r="I31" s="11"/>
      <c r="J31" s="53">
        <f t="shared" si="61"/>
        <v>-18</v>
      </c>
      <c r="K31" s="60" t="s">
        <v>98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49">
        <f t="shared" si="55"/>
        <v>2006</v>
      </c>
      <c r="AE31" s="50">
        <f>Base_Indem_Sev!K11</f>
        <v>17933.33486</v>
      </c>
      <c r="AF31" s="79">
        <f>Base_Indem_Sev!K57</f>
        <v>1</v>
      </c>
      <c r="AG31" s="52">
        <f t="shared" si="56"/>
        <v>17933.33486</v>
      </c>
      <c r="AH31" s="11"/>
      <c r="AI31" s="49">
        <f t="shared" si="57"/>
        <v>2006</v>
      </c>
      <c r="AJ31" s="50">
        <f>Base_Med_Sev!K11</f>
        <v>20958.21263</v>
      </c>
      <c r="AK31" s="79">
        <f>Base_Med_Sev!K57</f>
        <v>1</v>
      </c>
      <c r="AL31" s="52">
        <f t="shared" si="58"/>
        <v>20958.21263</v>
      </c>
    </row>
    <row r="32" ht="12.75" customHeight="1">
      <c r="A32" s="11"/>
      <c r="B32" s="53">
        <f t="shared" si="59"/>
        <v>-5</v>
      </c>
      <c r="C32" s="60" t="s">
        <v>97</v>
      </c>
      <c r="D32" s="11"/>
      <c r="E32" s="11"/>
      <c r="F32" s="53">
        <f t="shared" si="60"/>
        <v>-12</v>
      </c>
      <c r="G32" s="60" t="s">
        <v>137</v>
      </c>
      <c r="H32" s="11"/>
      <c r="I32" s="11"/>
      <c r="J32" s="53">
        <f t="shared" si="61"/>
        <v>-19</v>
      </c>
      <c r="K32" s="60" t="s">
        <v>100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49">
        <f t="shared" si="55"/>
        <v>2007</v>
      </c>
      <c r="AE32" s="50">
        <f>Base_Indem_Sev!J12</f>
        <v>19061.74884</v>
      </c>
      <c r="AF32" s="79">
        <f>Base_Indem_Sev!J57</f>
        <v>1</v>
      </c>
      <c r="AG32" s="52">
        <f t="shared" si="56"/>
        <v>19061.74884</v>
      </c>
      <c r="AH32" s="11"/>
      <c r="AI32" s="49">
        <f t="shared" si="57"/>
        <v>2007</v>
      </c>
      <c r="AJ32" s="50">
        <f>Base_Med_Sev!J12</f>
        <v>21793.43386</v>
      </c>
      <c r="AK32" s="79">
        <f>Base_Med_Sev!J57</f>
        <v>1</v>
      </c>
      <c r="AL32" s="52">
        <f t="shared" si="58"/>
        <v>21793.43386</v>
      </c>
    </row>
    <row r="33" ht="12.75" customHeight="1">
      <c r="A33" s="11"/>
      <c r="B33" s="53">
        <f t="shared" si="59"/>
        <v>-6</v>
      </c>
      <c r="C33" s="11" t="s">
        <v>99</v>
      </c>
      <c r="D33" s="11"/>
      <c r="E33" s="11"/>
      <c r="F33" s="53">
        <f t="shared" si="60"/>
        <v>-13</v>
      </c>
      <c r="G33" s="60" t="s">
        <v>138</v>
      </c>
      <c r="H33" s="11"/>
      <c r="I33" s="11"/>
      <c r="J33" s="53">
        <f t="shared" si="61"/>
        <v>-20</v>
      </c>
      <c r="K33" s="60" t="s">
        <v>139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49">
        <f t="shared" si="55"/>
        <v>2008</v>
      </c>
      <c r="AE33" s="50">
        <f>Base_Indem_Sev!I13</f>
        <v>20118.73779</v>
      </c>
      <c r="AF33" s="79">
        <f>Base_Indem_Sev!I57</f>
        <v>1</v>
      </c>
      <c r="AG33" s="52">
        <f t="shared" si="56"/>
        <v>20118.73779</v>
      </c>
      <c r="AH33" s="11"/>
      <c r="AI33" s="49">
        <f t="shared" si="57"/>
        <v>2008</v>
      </c>
      <c r="AJ33" s="50">
        <f>Base_Med_Sev!I13</f>
        <v>21602.38027</v>
      </c>
      <c r="AK33" s="79">
        <f>Base_Med_Sev!I57</f>
        <v>1</v>
      </c>
      <c r="AL33" s="52">
        <f t="shared" si="58"/>
        <v>21602.38027</v>
      </c>
    </row>
    <row r="34" ht="12.75" customHeight="1">
      <c r="A34" s="11"/>
      <c r="B34" s="53">
        <f t="shared" si="59"/>
        <v>-7</v>
      </c>
      <c r="C34" s="11" t="s">
        <v>99</v>
      </c>
      <c r="D34" s="11"/>
      <c r="E34" s="11"/>
      <c r="F34" s="53">
        <f t="shared" si="60"/>
        <v>-14</v>
      </c>
      <c r="G34" s="60" t="s">
        <v>95</v>
      </c>
      <c r="H34" s="11"/>
      <c r="I34" s="11"/>
      <c r="J34" s="53">
        <f t="shared" si="61"/>
        <v>-21</v>
      </c>
      <c r="K34" s="60" t="s">
        <v>140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49">
        <f t="shared" si="55"/>
        <v>2009</v>
      </c>
      <c r="AE34" s="50">
        <f>Base_Indem_Sev!H14</f>
        <v>22334.94357</v>
      </c>
      <c r="AF34" s="79">
        <f>Base_Indem_Sev!H57</f>
        <v>1</v>
      </c>
      <c r="AG34" s="52">
        <f t="shared" si="56"/>
        <v>22334.94357</v>
      </c>
      <c r="AH34" s="11"/>
      <c r="AI34" s="49">
        <f t="shared" si="57"/>
        <v>2009</v>
      </c>
      <c r="AJ34" s="50">
        <f>Base_Med_Sev!H14</f>
        <v>23828.55327</v>
      </c>
      <c r="AK34" s="79">
        <f>Base_Med_Sev!H57</f>
        <v>1</v>
      </c>
      <c r="AL34" s="52">
        <f t="shared" si="58"/>
        <v>23828.55327</v>
      </c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49">
        <f t="shared" si="55"/>
        <v>2010</v>
      </c>
      <c r="AE35" s="50">
        <f>Base_Indem_Sev!G15</f>
        <v>22279.37147</v>
      </c>
      <c r="AF35" s="79">
        <f>Base_Indem_Sev!G57</f>
        <v>1</v>
      </c>
      <c r="AG35" s="52">
        <f t="shared" si="56"/>
        <v>22279.37147</v>
      </c>
      <c r="AH35" s="11"/>
      <c r="AI35" s="49">
        <f t="shared" si="57"/>
        <v>2010</v>
      </c>
      <c r="AJ35" s="50">
        <f>Base_Med_Sev!G15</f>
        <v>24991.23832</v>
      </c>
      <c r="AK35" s="79">
        <f>Base_Med_Sev!G57</f>
        <v>1</v>
      </c>
      <c r="AL35" s="52">
        <f t="shared" si="58"/>
        <v>24991.23832</v>
      </c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49">
        <f t="shared" si="55"/>
        <v>2011</v>
      </c>
      <c r="AE36" s="50">
        <f>Base_Indem_Sev!F16</f>
        <v>22340.69473</v>
      </c>
      <c r="AF36" s="79">
        <f>Base_Indem_Sev!F57</f>
        <v>1</v>
      </c>
      <c r="AG36" s="52">
        <f t="shared" si="56"/>
        <v>22340.69473</v>
      </c>
      <c r="AH36" s="11"/>
      <c r="AI36" s="49">
        <f t="shared" si="57"/>
        <v>2011</v>
      </c>
      <c r="AJ36" s="50">
        <f>Base_Med_Sev!F16</f>
        <v>25252.40033</v>
      </c>
      <c r="AK36" s="79">
        <f>Base_Med_Sev!F57</f>
        <v>1</v>
      </c>
      <c r="AL36" s="52">
        <f t="shared" si="58"/>
        <v>25252.40033</v>
      </c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49">
        <f t="shared" si="55"/>
        <v>2012</v>
      </c>
      <c r="AE37" s="50">
        <f>Base_Indem_Sev!E17</f>
        <v>24715.73224</v>
      </c>
      <c r="AF37" s="79">
        <f>Base_Indem_Sev!E57</f>
        <v>1</v>
      </c>
      <c r="AG37" s="52">
        <f t="shared" si="56"/>
        <v>24715.73224</v>
      </c>
      <c r="AH37" s="11"/>
      <c r="AI37" s="49">
        <f t="shared" si="57"/>
        <v>2012</v>
      </c>
      <c r="AJ37" s="50">
        <f>Base_Med_Sev!E17</f>
        <v>30316.72645</v>
      </c>
      <c r="AK37" s="79">
        <f>Base_Med_Sev!E57</f>
        <v>1</v>
      </c>
      <c r="AL37" s="52">
        <f t="shared" si="58"/>
        <v>30316.72645</v>
      </c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49">
        <f t="shared" si="55"/>
        <v>2013</v>
      </c>
      <c r="AE38" s="50">
        <f>Base_Indem_Sev!D18</f>
        <v>21328.4908</v>
      </c>
      <c r="AF38" s="79">
        <f>Base_Indem_Sev!D57</f>
        <v>1</v>
      </c>
      <c r="AG38" s="52">
        <f t="shared" si="56"/>
        <v>21328.4908</v>
      </c>
      <c r="AH38" s="11"/>
      <c r="AI38" s="49">
        <f t="shared" si="57"/>
        <v>2013</v>
      </c>
      <c r="AJ38" s="50">
        <f>Base_Med_Sev!D18</f>
        <v>26816.69266</v>
      </c>
      <c r="AK38" s="79">
        <f>Base_Med_Sev!D57</f>
        <v>1</v>
      </c>
      <c r="AL38" s="52">
        <f t="shared" si="58"/>
        <v>26816.69266</v>
      </c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49">
        <f t="shared" si="55"/>
        <v>2014</v>
      </c>
      <c r="AE39" s="50">
        <f>Base_Indem_Sev!C19</f>
        <v>19900.08265</v>
      </c>
      <c r="AF39" s="79">
        <f>Base_Indem_Sev!C57</f>
        <v>1</v>
      </c>
      <c r="AG39" s="52">
        <f t="shared" si="56"/>
        <v>19900.08265</v>
      </c>
      <c r="AH39" s="11"/>
      <c r="AI39" s="49">
        <f t="shared" si="57"/>
        <v>2014</v>
      </c>
      <c r="AJ39" s="50">
        <f>Base_Med_Sev!C19</f>
        <v>28907.97746</v>
      </c>
      <c r="AK39" s="79">
        <f>Base_Med_Sev!C57</f>
        <v>1</v>
      </c>
      <c r="AL39" s="52">
        <f t="shared" si="58"/>
        <v>28907.97746</v>
      </c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56">
        <f t="shared" si="55"/>
        <v>2015</v>
      </c>
      <c r="AE40" s="57">
        <f>Base_Indem_Sev!B20</f>
        <v>16947.70312</v>
      </c>
      <c r="AF40" s="80">
        <f>Base_Indem_Sev!B57</f>
        <v>1</v>
      </c>
      <c r="AG40" s="59">
        <f t="shared" si="56"/>
        <v>16947.70312</v>
      </c>
      <c r="AH40" s="11"/>
      <c r="AI40" s="56">
        <f t="shared" si="57"/>
        <v>2015</v>
      </c>
      <c r="AJ40" s="57">
        <f>Base_Med_Sev!B20</f>
        <v>26049.77124</v>
      </c>
      <c r="AK40" s="80">
        <f>Base_Med_Sev!B57</f>
        <v>1</v>
      </c>
      <c r="AL40" s="59">
        <f t="shared" si="58"/>
        <v>26049.77124</v>
      </c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</row>
  </sheetData>
  <mergeCells count="14">
    <mergeCell ref="I8:J8"/>
    <mergeCell ref="K8:L8"/>
    <mergeCell ref="M8:N8"/>
    <mergeCell ref="O8:P8"/>
    <mergeCell ref="Q8:R8"/>
    <mergeCell ref="S8:T8"/>
    <mergeCell ref="O6:V6"/>
    <mergeCell ref="G7:J7"/>
    <mergeCell ref="K7:N7"/>
    <mergeCell ref="O7:R7"/>
    <mergeCell ref="S7:V7"/>
    <mergeCell ref="D8:E8"/>
    <mergeCell ref="G8:H8"/>
    <mergeCell ref="U8:V8"/>
  </mergeCells>
  <printOptions/>
  <pageMargins bottom="0.75" footer="0.0" header="0.0" left="0.7" right="0.7" top="0.75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workbookViewId="0"/>
  </sheetViews>
  <sheetFormatPr customHeight="1" defaultColWidth="12.63" defaultRowHeight="15.0"/>
  <cols>
    <col customWidth="1" min="1" max="13" width="8.63"/>
    <col customWidth="1" min="14" max="15" width="9.5"/>
    <col customWidth="1" min="16" max="26" width="8.63"/>
  </cols>
  <sheetData>
    <row r="1" ht="12.75" customHeight="1">
      <c r="A1" s="61" t="s">
        <v>101</v>
      </c>
      <c r="B1" s="61" t="s">
        <v>101</v>
      </c>
      <c r="C1" s="61" t="s">
        <v>101</v>
      </c>
      <c r="D1" s="61" t="s">
        <v>101</v>
      </c>
      <c r="E1" s="61" t="s">
        <v>101</v>
      </c>
      <c r="F1" s="61" t="s">
        <v>101</v>
      </c>
      <c r="G1" s="61" t="s">
        <v>101</v>
      </c>
      <c r="H1" s="61" t="s">
        <v>101</v>
      </c>
      <c r="I1" s="61" t="s">
        <v>101</v>
      </c>
      <c r="J1" s="61" t="s">
        <v>101</v>
      </c>
      <c r="K1" s="61" t="s">
        <v>101</v>
      </c>
      <c r="L1" s="61" t="s">
        <v>101</v>
      </c>
      <c r="M1" s="61" t="s">
        <v>101</v>
      </c>
      <c r="N1" s="61" t="s">
        <v>101</v>
      </c>
    </row>
    <row r="2" ht="12.75" customHeight="1">
      <c r="A2" s="61" t="s">
        <v>101</v>
      </c>
      <c r="B2" s="62" t="s">
        <v>141</v>
      </c>
      <c r="O2" s="62"/>
    </row>
    <row r="3" ht="12.75" customHeight="1">
      <c r="A3" s="30" t="s">
        <v>101</v>
      </c>
      <c r="B3" s="62"/>
      <c r="O3" s="62"/>
    </row>
    <row r="4" ht="12.75" customHeight="1">
      <c r="A4" s="30"/>
    </row>
    <row r="5" ht="12.75" customHeight="1">
      <c r="A5" s="30" t="s">
        <v>74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</row>
    <row r="6" ht="12.75" customHeight="1">
      <c r="A6" s="63" t="s">
        <v>84</v>
      </c>
      <c r="B6" s="30">
        <v>12.0</v>
      </c>
      <c r="C6" s="30">
        <v>24.0</v>
      </c>
      <c r="D6" s="30">
        <v>36.0</v>
      </c>
      <c r="E6" s="30">
        <v>48.0</v>
      </c>
      <c r="F6" s="30">
        <v>60.0</v>
      </c>
      <c r="G6" s="30">
        <v>72.0</v>
      </c>
      <c r="H6" s="30">
        <v>84.0</v>
      </c>
      <c r="I6" s="30">
        <v>96.0</v>
      </c>
      <c r="J6" s="30">
        <v>108.0</v>
      </c>
      <c r="K6" s="30">
        <v>120.0</v>
      </c>
      <c r="L6" s="30">
        <v>132.0</v>
      </c>
      <c r="M6" s="30">
        <v>144.0</v>
      </c>
      <c r="N6" s="30">
        <v>156.0</v>
      </c>
      <c r="O6" s="30"/>
    </row>
    <row r="7" ht="12.75" customHeight="1">
      <c r="A7" s="63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</row>
    <row r="8" ht="12.75" customHeight="1">
      <c r="A8" s="30">
        <v>2003.0</v>
      </c>
      <c r="B8" s="66">
        <v>3928.0</v>
      </c>
      <c r="C8" s="66">
        <v>4277.0</v>
      </c>
      <c r="D8" s="66">
        <v>4353.0</v>
      </c>
      <c r="E8" s="66">
        <v>4353.0</v>
      </c>
      <c r="F8" s="66">
        <v>4353.0</v>
      </c>
      <c r="G8" s="66">
        <v>4353.0</v>
      </c>
      <c r="H8" s="66">
        <v>4353.0</v>
      </c>
      <c r="I8" s="66">
        <v>4353.0</v>
      </c>
      <c r="J8" s="66">
        <v>4353.0</v>
      </c>
      <c r="K8" s="66">
        <v>4353.0</v>
      </c>
      <c r="L8" s="66">
        <v>4353.0</v>
      </c>
      <c r="M8" s="66">
        <v>4353.0</v>
      </c>
      <c r="N8" s="66">
        <v>4353.0</v>
      </c>
      <c r="O8" s="66"/>
    </row>
    <row r="9" ht="12.75" customHeight="1">
      <c r="A9" s="30">
        <v>2004.0</v>
      </c>
      <c r="B9" s="66">
        <v>3933.0</v>
      </c>
      <c r="C9" s="66">
        <v>4147.0</v>
      </c>
      <c r="D9" s="66">
        <v>4161.0</v>
      </c>
      <c r="E9" s="66">
        <v>4161.0</v>
      </c>
      <c r="F9" s="66">
        <v>4161.0</v>
      </c>
      <c r="G9" s="66">
        <v>4175.0</v>
      </c>
      <c r="H9" s="66">
        <v>4175.0</v>
      </c>
      <c r="I9" s="66">
        <v>4175.0</v>
      </c>
      <c r="J9" s="66">
        <v>4175.0</v>
      </c>
      <c r="K9" s="66">
        <v>4175.0</v>
      </c>
      <c r="L9" s="66">
        <v>4175.0</v>
      </c>
      <c r="M9" s="66">
        <v>4175.0</v>
      </c>
      <c r="N9" s="66"/>
      <c r="O9" s="66"/>
    </row>
    <row r="10" ht="12.75" customHeight="1">
      <c r="A10" s="30">
        <v>2005.0</v>
      </c>
      <c r="B10" s="66">
        <v>3509.0</v>
      </c>
      <c r="C10" s="66">
        <v>3888.0</v>
      </c>
      <c r="D10" s="66">
        <v>4020.0</v>
      </c>
      <c r="E10" s="66">
        <v>4020.0</v>
      </c>
      <c r="F10" s="66">
        <v>4020.0</v>
      </c>
      <c r="G10" s="66">
        <v>4020.0</v>
      </c>
      <c r="H10" s="66">
        <v>4020.0</v>
      </c>
      <c r="I10" s="66">
        <v>4020.0</v>
      </c>
      <c r="J10" s="66">
        <v>4020.0</v>
      </c>
      <c r="K10" s="66">
        <v>4020.0</v>
      </c>
      <c r="L10" s="66">
        <v>4020.0</v>
      </c>
      <c r="M10" s="66"/>
      <c r="N10" s="66"/>
      <c r="O10" s="66"/>
    </row>
    <row r="11" ht="12.75" customHeight="1">
      <c r="A11" s="30">
        <v>2006.0</v>
      </c>
      <c r="B11" s="66">
        <v>3223.0</v>
      </c>
      <c r="C11" s="66">
        <v>3696.0</v>
      </c>
      <c r="D11" s="66">
        <v>3755.0</v>
      </c>
      <c r="E11" s="66">
        <v>3755.0</v>
      </c>
      <c r="F11" s="66">
        <v>3755.0</v>
      </c>
      <c r="G11" s="66">
        <v>3755.0</v>
      </c>
      <c r="H11" s="66">
        <v>3755.0</v>
      </c>
      <c r="I11" s="66">
        <v>3755.0</v>
      </c>
      <c r="J11" s="66">
        <v>3755.0</v>
      </c>
      <c r="K11" s="66">
        <v>3755.0</v>
      </c>
      <c r="L11" s="66"/>
      <c r="M11" s="66"/>
      <c r="N11" s="66"/>
      <c r="O11" s="66"/>
    </row>
    <row r="12" ht="12.75" customHeight="1">
      <c r="A12" s="30">
        <v>2007.0</v>
      </c>
      <c r="B12" s="66">
        <v>3051.0</v>
      </c>
      <c r="C12" s="66">
        <v>3532.0</v>
      </c>
      <c r="D12" s="66">
        <v>3559.0</v>
      </c>
      <c r="E12" s="66">
        <v>3586.0</v>
      </c>
      <c r="F12" s="66">
        <v>3586.0</v>
      </c>
      <c r="G12" s="66">
        <v>3586.0</v>
      </c>
      <c r="H12" s="66">
        <v>3586.0</v>
      </c>
      <c r="I12" s="66">
        <v>3586.0</v>
      </c>
      <c r="J12" s="66">
        <v>3586.0</v>
      </c>
      <c r="K12" s="66"/>
      <c r="L12" s="66"/>
      <c r="M12" s="66"/>
      <c r="N12" s="66"/>
      <c r="O12" s="66"/>
    </row>
    <row r="13" ht="12.75" customHeight="1">
      <c r="A13" s="30">
        <v>2008.0</v>
      </c>
      <c r="B13" s="66">
        <v>3150.0</v>
      </c>
      <c r="C13" s="66">
        <v>3405.0</v>
      </c>
      <c r="D13" s="66">
        <v>3490.0</v>
      </c>
      <c r="E13" s="66">
        <v>3507.0</v>
      </c>
      <c r="F13" s="66">
        <v>3507.0</v>
      </c>
      <c r="G13" s="66">
        <v>3507.0</v>
      </c>
      <c r="H13" s="66">
        <v>3507.0</v>
      </c>
      <c r="I13" s="66">
        <v>3507.0</v>
      </c>
      <c r="J13" s="66"/>
      <c r="K13" s="66"/>
      <c r="L13" s="66"/>
      <c r="M13" s="66"/>
      <c r="N13" s="66"/>
    </row>
    <row r="14" ht="12.75" customHeight="1">
      <c r="A14" s="30">
        <v>2009.0</v>
      </c>
      <c r="B14" s="66">
        <v>2927.0</v>
      </c>
      <c r="C14" s="66">
        <v>3279.0</v>
      </c>
      <c r="D14" s="66">
        <v>3356.0</v>
      </c>
      <c r="E14" s="66">
        <v>3356.0</v>
      </c>
      <c r="F14" s="66">
        <v>3356.0</v>
      </c>
      <c r="G14" s="66">
        <v>3356.0</v>
      </c>
      <c r="H14" s="66">
        <v>3356.0</v>
      </c>
      <c r="I14" s="66"/>
      <c r="J14" s="66"/>
      <c r="K14" s="66"/>
      <c r="L14" s="66"/>
      <c r="M14" s="66"/>
      <c r="N14" s="66"/>
    </row>
    <row r="15" ht="12.75" customHeight="1">
      <c r="A15" s="30">
        <v>2010.0</v>
      </c>
      <c r="B15" s="66">
        <v>2741.0</v>
      </c>
      <c r="C15" s="66">
        <v>3144.0</v>
      </c>
      <c r="D15" s="66">
        <v>3192.0</v>
      </c>
      <c r="E15" s="66">
        <v>3192.0</v>
      </c>
      <c r="F15" s="66">
        <v>3192.0</v>
      </c>
      <c r="G15" s="66">
        <v>3192.0</v>
      </c>
    </row>
    <row r="16" ht="12.75" customHeight="1">
      <c r="A16" s="30">
        <v>2011.0</v>
      </c>
      <c r="B16" s="66">
        <v>2756.0</v>
      </c>
      <c r="C16" s="66">
        <v>3215.0</v>
      </c>
      <c r="D16" s="66">
        <v>3307.0</v>
      </c>
      <c r="E16" s="66">
        <v>3307.0</v>
      </c>
      <c r="F16" s="66">
        <v>3307.0</v>
      </c>
      <c r="N16" s="65"/>
      <c r="O16" s="65"/>
    </row>
    <row r="17" ht="12.75" customHeight="1">
      <c r="A17" s="30">
        <v>2012.0</v>
      </c>
      <c r="B17" s="66">
        <v>2925.0</v>
      </c>
      <c r="C17" s="66">
        <v>3217.0</v>
      </c>
      <c r="D17" s="66">
        <v>3280.0</v>
      </c>
      <c r="E17" s="66">
        <v>3279.0</v>
      </c>
      <c r="N17" s="65"/>
      <c r="O17" s="65"/>
    </row>
    <row r="18" ht="12.75" customHeight="1">
      <c r="A18" s="30">
        <v>2013.0</v>
      </c>
      <c r="B18" s="66">
        <v>2685.0</v>
      </c>
      <c r="C18" s="66">
        <v>3035.0</v>
      </c>
      <c r="D18" s="66">
        <v>3085.0</v>
      </c>
      <c r="N18" s="65"/>
      <c r="O18" s="65"/>
    </row>
    <row r="19" ht="12.75" customHeight="1">
      <c r="A19" s="30">
        <v>2014.0</v>
      </c>
      <c r="B19" s="66">
        <v>2605.0</v>
      </c>
      <c r="C19" s="66">
        <v>2934.0</v>
      </c>
      <c r="D19" s="65"/>
      <c r="N19" s="65"/>
      <c r="O19" s="65"/>
    </row>
    <row r="20" ht="12.75" customHeight="1">
      <c r="A20" s="30">
        <v>2015.0</v>
      </c>
      <c r="B20" s="66">
        <v>2538.0</v>
      </c>
    </row>
    <row r="21" ht="12.75" customHeight="1"/>
    <row r="22" ht="12.75" customHeight="1"/>
    <row r="23" ht="12.75" customHeight="1"/>
    <row r="24" ht="12.75" customHeight="1">
      <c r="A24" s="61" t="s">
        <v>101</v>
      </c>
      <c r="B24" s="62" t="s">
        <v>142</v>
      </c>
      <c r="O24" s="62"/>
    </row>
    <row r="25" ht="12.75" customHeight="1">
      <c r="A25" s="30" t="s">
        <v>101</v>
      </c>
      <c r="B25" s="62"/>
      <c r="O25" s="62"/>
    </row>
    <row r="26" ht="12.75" customHeight="1">
      <c r="A26" s="30"/>
      <c r="B26" s="30">
        <v>12.0</v>
      </c>
      <c r="C26" s="30">
        <v>24.0</v>
      </c>
      <c r="D26" s="30">
        <v>36.0</v>
      </c>
      <c r="E26" s="30">
        <v>48.0</v>
      </c>
      <c r="F26" s="30">
        <v>60.0</v>
      </c>
      <c r="G26" s="30">
        <v>72.0</v>
      </c>
      <c r="H26" s="30">
        <v>84.0</v>
      </c>
      <c r="I26" s="30">
        <v>96.0</v>
      </c>
      <c r="J26" s="30">
        <v>108.0</v>
      </c>
      <c r="K26" s="30">
        <v>120.0</v>
      </c>
      <c r="L26" s="30">
        <v>132.0</v>
      </c>
      <c r="M26" s="30">
        <v>144.0</v>
      </c>
      <c r="N26" s="30">
        <v>156.0</v>
      </c>
      <c r="O26" s="30"/>
    </row>
    <row r="27" ht="12.75" customHeight="1">
      <c r="A27" s="30" t="s">
        <v>74</v>
      </c>
      <c r="B27" s="30" t="s">
        <v>108</v>
      </c>
      <c r="C27" s="30" t="s">
        <v>108</v>
      </c>
      <c r="D27" s="30" t="s">
        <v>108</v>
      </c>
      <c r="E27" s="30" t="s">
        <v>108</v>
      </c>
      <c r="F27" s="30" t="s">
        <v>108</v>
      </c>
      <c r="G27" s="30" t="s">
        <v>108</v>
      </c>
      <c r="H27" s="30" t="s">
        <v>108</v>
      </c>
      <c r="I27" s="30" t="s">
        <v>108</v>
      </c>
      <c r="J27" s="30" t="s">
        <v>108</v>
      </c>
      <c r="K27" s="30" t="s">
        <v>108</v>
      </c>
      <c r="L27" s="30" t="s">
        <v>108</v>
      </c>
      <c r="M27" s="30" t="s">
        <v>108</v>
      </c>
      <c r="N27" s="30" t="s">
        <v>108</v>
      </c>
      <c r="O27" s="30"/>
    </row>
    <row r="28" ht="12.75" customHeight="1">
      <c r="A28" s="63" t="s">
        <v>84</v>
      </c>
      <c r="B28" s="67">
        <v>24.0</v>
      </c>
      <c r="C28" s="67">
        <v>36.0</v>
      </c>
      <c r="D28" s="67">
        <v>48.0</v>
      </c>
      <c r="E28" s="67">
        <v>60.0</v>
      </c>
      <c r="F28" s="67">
        <v>72.0</v>
      </c>
      <c r="G28" s="67">
        <v>84.0</v>
      </c>
      <c r="H28" s="67">
        <v>96.0</v>
      </c>
      <c r="I28" s="67">
        <v>108.0</v>
      </c>
      <c r="J28" s="67">
        <v>120.0</v>
      </c>
      <c r="K28" s="67">
        <v>132.0</v>
      </c>
      <c r="L28" s="67">
        <v>144.0</v>
      </c>
      <c r="M28" s="67">
        <v>156.0</v>
      </c>
      <c r="N28" s="67" t="s">
        <v>77</v>
      </c>
      <c r="O28" s="67"/>
    </row>
    <row r="29" ht="12.75" customHeight="1">
      <c r="A29" s="63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</row>
    <row r="30" ht="12.75" customHeight="1">
      <c r="A30" s="30">
        <f t="shared" ref="A30:A40" si="2">+A31-1</f>
        <v>2003</v>
      </c>
      <c r="B30" s="65">
        <f t="shared" ref="B30:M30" si="1">C8/B8</f>
        <v>1.088849287</v>
      </c>
      <c r="C30" s="65">
        <f t="shared" si="1"/>
        <v>1.017769465</v>
      </c>
      <c r="D30" s="65">
        <f t="shared" si="1"/>
        <v>1</v>
      </c>
      <c r="E30" s="65">
        <f t="shared" si="1"/>
        <v>1</v>
      </c>
      <c r="F30" s="65">
        <f t="shared" si="1"/>
        <v>1</v>
      </c>
      <c r="G30" s="65">
        <f t="shared" si="1"/>
        <v>1</v>
      </c>
      <c r="H30" s="65">
        <f t="shared" si="1"/>
        <v>1</v>
      </c>
      <c r="I30" s="65">
        <f t="shared" si="1"/>
        <v>1</v>
      </c>
      <c r="J30" s="65">
        <f t="shared" si="1"/>
        <v>1</v>
      </c>
      <c r="K30" s="65">
        <f t="shared" si="1"/>
        <v>1</v>
      </c>
      <c r="L30" s="65">
        <f t="shared" si="1"/>
        <v>1</v>
      </c>
      <c r="M30" s="65">
        <f t="shared" si="1"/>
        <v>1</v>
      </c>
      <c r="N30" s="65"/>
      <c r="O30" s="65"/>
      <c r="Q30" s="65"/>
      <c r="R30" s="65"/>
      <c r="S30" s="65"/>
      <c r="T30" s="65"/>
      <c r="U30" s="65"/>
      <c r="V30" s="65"/>
      <c r="W30" s="65"/>
    </row>
    <row r="31" ht="12.75" customHeight="1">
      <c r="A31" s="30">
        <f t="shared" si="2"/>
        <v>2004</v>
      </c>
      <c r="B31" s="65">
        <f t="shared" ref="B31:L31" si="3">C9/B9</f>
        <v>1.054411391</v>
      </c>
      <c r="C31" s="65">
        <f t="shared" si="3"/>
        <v>1.003375934</v>
      </c>
      <c r="D31" s="65">
        <f t="shared" si="3"/>
        <v>1</v>
      </c>
      <c r="E31" s="65">
        <f t="shared" si="3"/>
        <v>1</v>
      </c>
      <c r="F31" s="65">
        <f t="shared" si="3"/>
        <v>1.003364576</v>
      </c>
      <c r="G31" s="65">
        <f t="shared" si="3"/>
        <v>1</v>
      </c>
      <c r="H31" s="65">
        <f t="shared" si="3"/>
        <v>1</v>
      </c>
      <c r="I31" s="65">
        <f t="shared" si="3"/>
        <v>1</v>
      </c>
      <c r="J31" s="65">
        <f t="shared" si="3"/>
        <v>1</v>
      </c>
      <c r="K31" s="65">
        <f t="shared" si="3"/>
        <v>1</v>
      </c>
      <c r="L31" s="65">
        <f t="shared" si="3"/>
        <v>1</v>
      </c>
      <c r="M31" s="65"/>
      <c r="N31" s="65"/>
      <c r="O31" s="65"/>
      <c r="Q31" s="65"/>
      <c r="R31" s="65"/>
      <c r="S31" s="65"/>
      <c r="T31" s="65"/>
      <c r="U31" s="65"/>
      <c r="V31" s="65"/>
      <c r="W31" s="65"/>
    </row>
    <row r="32" ht="12.75" customHeight="1">
      <c r="A32" s="30">
        <f t="shared" si="2"/>
        <v>2005</v>
      </c>
      <c r="B32" s="65">
        <f t="shared" ref="B32:K32" si="4">C10/B10</f>
        <v>1.108007979</v>
      </c>
      <c r="C32" s="65">
        <f t="shared" si="4"/>
        <v>1.033950617</v>
      </c>
      <c r="D32" s="65">
        <f t="shared" si="4"/>
        <v>1</v>
      </c>
      <c r="E32" s="65">
        <f t="shared" si="4"/>
        <v>1</v>
      </c>
      <c r="F32" s="65">
        <f t="shared" si="4"/>
        <v>1</v>
      </c>
      <c r="G32" s="65">
        <f t="shared" si="4"/>
        <v>1</v>
      </c>
      <c r="H32" s="65">
        <f t="shared" si="4"/>
        <v>1</v>
      </c>
      <c r="I32" s="65">
        <f t="shared" si="4"/>
        <v>1</v>
      </c>
      <c r="J32" s="65">
        <f t="shared" si="4"/>
        <v>1</v>
      </c>
      <c r="K32" s="65">
        <f t="shared" si="4"/>
        <v>1</v>
      </c>
      <c r="L32" s="65"/>
      <c r="M32" s="65"/>
      <c r="N32" s="65"/>
      <c r="O32" s="65"/>
      <c r="Q32" s="65"/>
      <c r="R32" s="65"/>
      <c r="S32" s="65"/>
      <c r="T32" s="65"/>
      <c r="U32" s="65"/>
      <c r="V32" s="65"/>
      <c r="W32" s="65"/>
    </row>
    <row r="33" ht="12.75" customHeight="1">
      <c r="A33" s="30">
        <f t="shared" si="2"/>
        <v>2006</v>
      </c>
      <c r="B33" s="65">
        <f t="shared" ref="B33:J33" si="5">C11/B11</f>
        <v>1.146757679</v>
      </c>
      <c r="C33" s="65">
        <f t="shared" si="5"/>
        <v>1.015963203</v>
      </c>
      <c r="D33" s="65">
        <f t="shared" si="5"/>
        <v>1</v>
      </c>
      <c r="E33" s="65">
        <f t="shared" si="5"/>
        <v>1</v>
      </c>
      <c r="F33" s="65">
        <f t="shared" si="5"/>
        <v>1</v>
      </c>
      <c r="G33" s="65">
        <f t="shared" si="5"/>
        <v>1</v>
      </c>
      <c r="H33" s="65">
        <f t="shared" si="5"/>
        <v>1</v>
      </c>
      <c r="I33" s="65">
        <f t="shared" si="5"/>
        <v>1</v>
      </c>
      <c r="J33" s="65">
        <f t="shared" si="5"/>
        <v>1</v>
      </c>
      <c r="K33" s="65"/>
      <c r="L33" s="65"/>
      <c r="M33" s="65"/>
      <c r="N33" s="65"/>
      <c r="O33" s="65"/>
      <c r="Q33" s="65"/>
      <c r="R33" s="65"/>
      <c r="S33" s="65"/>
      <c r="T33" s="65"/>
      <c r="U33" s="65"/>
      <c r="V33" s="65"/>
      <c r="W33" s="65"/>
    </row>
    <row r="34" ht="12.75" customHeight="1">
      <c r="A34" s="30">
        <f t="shared" si="2"/>
        <v>2007</v>
      </c>
      <c r="B34" s="65">
        <f t="shared" ref="B34:I34" si="6">C12/B12</f>
        <v>1.157653228</v>
      </c>
      <c r="C34" s="65">
        <f t="shared" si="6"/>
        <v>1.007644394</v>
      </c>
      <c r="D34" s="65">
        <f t="shared" si="6"/>
        <v>1.007586401</v>
      </c>
      <c r="E34" s="65">
        <f t="shared" si="6"/>
        <v>1</v>
      </c>
      <c r="F34" s="65">
        <f t="shared" si="6"/>
        <v>1</v>
      </c>
      <c r="G34" s="65">
        <f t="shared" si="6"/>
        <v>1</v>
      </c>
      <c r="H34" s="65">
        <f t="shared" si="6"/>
        <v>1</v>
      </c>
      <c r="I34" s="65">
        <f t="shared" si="6"/>
        <v>1</v>
      </c>
      <c r="J34" s="65"/>
      <c r="K34" s="65"/>
      <c r="L34" s="65"/>
      <c r="M34" s="65"/>
      <c r="N34" s="65"/>
      <c r="O34" s="65"/>
      <c r="Q34" s="65"/>
      <c r="R34" s="65"/>
      <c r="S34" s="65"/>
      <c r="T34" s="65"/>
      <c r="U34" s="65"/>
      <c r="V34" s="65"/>
      <c r="W34" s="65"/>
    </row>
    <row r="35" ht="12.75" customHeight="1">
      <c r="A35" s="30">
        <f t="shared" si="2"/>
        <v>2008</v>
      </c>
      <c r="B35" s="65">
        <f t="shared" ref="B35:H35" si="7">C13/B13</f>
        <v>1.080952381</v>
      </c>
      <c r="C35" s="65">
        <f t="shared" si="7"/>
        <v>1.024963289</v>
      </c>
      <c r="D35" s="65">
        <f t="shared" si="7"/>
        <v>1.00487106</v>
      </c>
      <c r="E35" s="65">
        <f t="shared" si="7"/>
        <v>1</v>
      </c>
      <c r="F35" s="65">
        <f t="shared" si="7"/>
        <v>1</v>
      </c>
      <c r="G35" s="65">
        <f t="shared" si="7"/>
        <v>1</v>
      </c>
      <c r="H35" s="65">
        <f t="shared" si="7"/>
        <v>1</v>
      </c>
      <c r="I35" s="65"/>
      <c r="J35" s="65"/>
      <c r="K35" s="65"/>
      <c r="L35" s="65"/>
      <c r="M35" s="65"/>
      <c r="N35" s="65"/>
      <c r="Q35" s="65"/>
      <c r="R35" s="65"/>
      <c r="S35" s="65"/>
      <c r="T35" s="65"/>
      <c r="U35" s="65"/>
      <c r="V35" s="65"/>
      <c r="W35" s="65"/>
    </row>
    <row r="36" ht="12.75" customHeight="1">
      <c r="A36" s="30">
        <f t="shared" si="2"/>
        <v>2009</v>
      </c>
      <c r="B36" s="65">
        <f t="shared" ref="B36:G36" si="8">C14/B14</f>
        <v>1.120259652</v>
      </c>
      <c r="C36" s="65">
        <f t="shared" si="8"/>
        <v>1.023482769</v>
      </c>
      <c r="D36" s="65">
        <f t="shared" si="8"/>
        <v>1</v>
      </c>
      <c r="E36" s="65">
        <f t="shared" si="8"/>
        <v>1</v>
      </c>
      <c r="F36" s="65">
        <f t="shared" si="8"/>
        <v>1</v>
      </c>
      <c r="G36" s="65">
        <f t="shared" si="8"/>
        <v>1</v>
      </c>
      <c r="H36" s="65"/>
      <c r="I36" s="65"/>
      <c r="J36" s="65"/>
      <c r="K36" s="65"/>
      <c r="L36" s="65"/>
      <c r="M36" s="65"/>
      <c r="N36" s="65"/>
      <c r="Q36" s="65"/>
      <c r="R36" s="65"/>
      <c r="S36" s="65"/>
      <c r="T36" s="65"/>
      <c r="U36" s="65"/>
      <c r="V36" s="65"/>
      <c r="W36" s="65"/>
    </row>
    <row r="37" ht="12.75" customHeight="1">
      <c r="A37" s="30">
        <f t="shared" si="2"/>
        <v>2010</v>
      </c>
      <c r="B37" s="65">
        <f t="shared" ref="B37:F37" si="9">C15/B15</f>
        <v>1.147026633</v>
      </c>
      <c r="C37" s="65">
        <f t="shared" si="9"/>
        <v>1.015267176</v>
      </c>
      <c r="D37" s="65">
        <f t="shared" si="9"/>
        <v>1</v>
      </c>
      <c r="E37" s="65">
        <f t="shared" si="9"/>
        <v>1</v>
      </c>
      <c r="F37" s="65">
        <f t="shared" si="9"/>
        <v>1</v>
      </c>
      <c r="G37" s="65"/>
      <c r="H37" s="65"/>
      <c r="I37" s="65"/>
      <c r="J37" s="65"/>
      <c r="K37" s="65"/>
      <c r="L37" s="65"/>
      <c r="M37" s="65"/>
      <c r="N37" s="65"/>
      <c r="Q37" s="65"/>
      <c r="R37" s="65"/>
      <c r="S37" s="65"/>
      <c r="T37" s="65"/>
      <c r="U37" s="65"/>
      <c r="V37" s="65"/>
      <c r="W37" s="65"/>
    </row>
    <row r="38" ht="12.75" customHeight="1">
      <c r="A38" s="30">
        <f t="shared" si="2"/>
        <v>2011</v>
      </c>
      <c r="B38" s="65">
        <f t="shared" ref="B38:E38" si="10">C16/B16</f>
        <v>1.166545718</v>
      </c>
      <c r="C38" s="65">
        <f t="shared" si="10"/>
        <v>1.028615863</v>
      </c>
      <c r="D38" s="65">
        <f t="shared" si="10"/>
        <v>1</v>
      </c>
      <c r="E38" s="65">
        <f t="shared" si="10"/>
        <v>1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Q38" s="65"/>
      <c r="R38" s="65"/>
      <c r="S38" s="65"/>
      <c r="T38" s="65"/>
      <c r="U38" s="65"/>
      <c r="V38" s="65"/>
      <c r="W38" s="65"/>
    </row>
    <row r="39" ht="12.75" customHeight="1">
      <c r="A39" s="30">
        <f t="shared" si="2"/>
        <v>2012</v>
      </c>
      <c r="B39" s="65">
        <f t="shared" ref="B39:D39" si="11">C17/B17</f>
        <v>1.09982906</v>
      </c>
      <c r="C39" s="65">
        <f t="shared" si="11"/>
        <v>1.019583463</v>
      </c>
      <c r="D39" s="65">
        <f t="shared" si="11"/>
        <v>0.999695122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Q39" s="65"/>
      <c r="R39" s="65"/>
      <c r="S39" s="65"/>
      <c r="T39" s="65"/>
      <c r="U39" s="65"/>
      <c r="V39" s="65"/>
      <c r="W39" s="65"/>
    </row>
    <row r="40" ht="12.75" customHeight="1">
      <c r="A40" s="30">
        <f t="shared" si="2"/>
        <v>2013</v>
      </c>
      <c r="B40" s="65">
        <f t="shared" ref="B40:C40" si="12">C18/B18</f>
        <v>1.130353818</v>
      </c>
      <c r="C40" s="65">
        <f t="shared" si="12"/>
        <v>1.016474465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Q40" s="65"/>
      <c r="R40" s="65"/>
      <c r="S40" s="65"/>
      <c r="T40" s="65"/>
      <c r="U40" s="65"/>
      <c r="V40" s="65"/>
      <c r="W40" s="65"/>
    </row>
    <row r="41" ht="12.75" customHeight="1">
      <c r="A41" s="30">
        <f>+A19</f>
        <v>2014</v>
      </c>
      <c r="B41" s="65">
        <f>C19/B19</f>
        <v>1.126295585</v>
      </c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Q41" s="65"/>
      <c r="R41" s="65"/>
      <c r="S41" s="65"/>
      <c r="T41" s="65"/>
      <c r="U41" s="65"/>
      <c r="V41" s="65"/>
      <c r="W41" s="65"/>
    </row>
    <row r="42" ht="12.75" customHeight="1">
      <c r="B42" s="30"/>
      <c r="C42" s="30"/>
      <c r="H42" s="30"/>
      <c r="I42" s="30"/>
      <c r="J42" s="30"/>
      <c r="K42" s="30"/>
      <c r="L42" s="30"/>
      <c r="M42" s="30"/>
      <c r="N42" s="30"/>
      <c r="O42" s="30"/>
    </row>
    <row r="43" ht="12.75" customHeight="1">
      <c r="A43" s="68" t="s">
        <v>143</v>
      </c>
    </row>
    <row r="44" ht="12.75" customHeight="1">
      <c r="A44" s="69" t="s">
        <v>110</v>
      </c>
      <c r="B44" s="65">
        <f>AVERAGE(B40:B41)</f>
        <v>1.128324701</v>
      </c>
      <c r="C44" s="65">
        <f>AVERAGE(C39:C40)</f>
        <v>1.018028964</v>
      </c>
      <c r="D44" s="65">
        <f>AVERAGE(D38:D39)</f>
        <v>0.999847561</v>
      </c>
      <c r="E44" s="65">
        <f>AVERAGE(E37:E38)</f>
        <v>1</v>
      </c>
      <c r="F44" s="65">
        <f>AVERAGE(F36:F37)</f>
        <v>1</v>
      </c>
      <c r="G44" s="65">
        <f>AVERAGE(G35:G36)</f>
        <v>1</v>
      </c>
      <c r="H44" s="65">
        <f t="shared" ref="H44:I44" si="13">AVERAGE(H34:H35)</f>
        <v>1</v>
      </c>
      <c r="I44" s="65">
        <f t="shared" si="13"/>
        <v>1</v>
      </c>
      <c r="J44" s="65">
        <f>AVERAGE(J32:J33)</f>
        <v>1</v>
      </c>
      <c r="K44" s="65">
        <f>AVERAGE(K31:K32)</f>
        <v>1</v>
      </c>
      <c r="L44" s="65">
        <f>AVERAGE(L30:L31)</f>
        <v>1</v>
      </c>
      <c r="M44" s="70">
        <f>M$48</f>
        <v>1</v>
      </c>
      <c r="N44" s="70"/>
      <c r="O44" s="65"/>
    </row>
    <row r="45" ht="12.75" customHeight="1">
      <c r="A45" s="69" t="s">
        <v>111</v>
      </c>
      <c r="B45" s="65">
        <f>AVERAGE(B39:B41)</f>
        <v>1.118826154</v>
      </c>
      <c r="C45" s="65">
        <f>AVERAGE(C38:C40)</f>
        <v>1.02155793</v>
      </c>
      <c r="D45" s="65">
        <f>AVERAGE(D37:D39)</f>
        <v>0.999898374</v>
      </c>
      <c r="E45" s="65">
        <f>AVERAGE(E36:E38)</f>
        <v>1</v>
      </c>
      <c r="F45" s="65">
        <f>AVERAGE(F35:F37)</f>
        <v>1</v>
      </c>
      <c r="G45" s="65">
        <f>AVERAGE(G34:G36)</f>
        <v>1</v>
      </c>
      <c r="H45" s="65">
        <f t="shared" ref="H45:I45" si="14">AVERAGE(H33:H35)</f>
        <v>1</v>
      </c>
      <c r="I45" s="65">
        <f t="shared" si="14"/>
        <v>1</v>
      </c>
      <c r="J45" s="65">
        <f>AVERAGE(J31:J33)</f>
        <v>1</v>
      </c>
      <c r="K45" s="65">
        <f>AVERAGE(K30:K32)</f>
        <v>1</v>
      </c>
      <c r="L45" s="70">
        <f t="shared" ref="L45:M45" si="15">L$48</f>
        <v>1</v>
      </c>
      <c r="M45" s="70">
        <f t="shared" si="15"/>
        <v>1</v>
      </c>
      <c r="N45" s="70"/>
      <c r="O45" s="65"/>
    </row>
    <row r="46" ht="12.75" customHeight="1">
      <c r="A46" s="69" t="s">
        <v>112</v>
      </c>
      <c r="B46" s="65">
        <f>AVERAGE(B38:B41)</f>
        <v>1.130756045</v>
      </c>
      <c r="C46" s="65">
        <f>AVERAGE(C37:C40)</f>
        <v>1.019985242</v>
      </c>
      <c r="D46" s="65">
        <f>AVERAGE(D36:D39)</f>
        <v>0.9999237805</v>
      </c>
      <c r="E46" s="65">
        <f>AVERAGE(E35:E38)</f>
        <v>1</v>
      </c>
      <c r="F46" s="65">
        <f>AVERAGE(F34:F37)</f>
        <v>1</v>
      </c>
      <c r="G46" s="65">
        <f>AVERAGE(G33:G36)</f>
        <v>1</v>
      </c>
      <c r="H46" s="65">
        <f t="shared" ref="H46:I46" si="16">AVERAGE(H32:H35)</f>
        <v>1</v>
      </c>
      <c r="I46" s="65">
        <f t="shared" si="16"/>
        <v>1</v>
      </c>
      <c r="J46" s="65">
        <f>AVERAGE(J30:J33)</f>
        <v>1</v>
      </c>
      <c r="K46" s="70">
        <f t="shared" ref="K46:M46" si="17">K$48</f>
        <v>1</v>
      </c>
      <c r="L46" s="70">
        <f t="shared" si="17"/>
        <v>1</v>
      </c>
      <c r="M46" s="70">
        <f t="shared" si="17"/>
        <v>1</v>
      </c>
      <c r="N46" s="70"/>
      <c r="O46" s="65"/>
    </row>
    <row r="47" ht="12.75" customHeight="1">
      <c r="A47" s="69" t="s">
        <v>113</v>
      </c>
      <c r="B47" s="65">
        <f>AVERAGE(B37:B41)</f>
        <v>1.134010163</v>
      </c>
      <c r="C47" s="65">
        <f>AVERAGE(C36:C40)</f>
        <v>1.020684747</v>
      </c>
      <c r="D47" s="65">
        <f>AVERAGE(D35:D39)</f>
        <v>1.000913236</v>
      </c>
      <c r="E47" s="65">
        <f>AVERAGE(E34:E38)</f>
        <v>1</v>
      </c>
      <c r="F47" s="65">
        <f>AVERAGE(F33:F37)</f>
        <v>1</v>
      </c>
      <c r="G47" s="65">
        <f>AVERAGE(G32:G36)</f>
        <v>1</v>
      </c>
      <c r="H47" s="65">
        <f t="shared" ref="H47:I47" si="18">AVERAGE(H31:H35)</f>
        <v>1</v>
      </c>
      <c r="I47" s="65">
        <f t="shared" si="18"/>
        <v>1</v>
      </c>
      <c r="J47" s="70">
        <f t="shared" ref="J47:M47" si="19">J$48</f>
        <v>1</v>
      </c>
      <c r="K47" s="70">
        <f t="shared" si="19"/>
        <v>1</v>
      </c>
      <c r="L47" s="70">
        <f t="shared" si="19"/>
        <v>1</v>
      </c>
      <c r="M47" s="70">
        <f t="shared" si="19"/>
        <v>1</v>
      </c>
      <c r="N47" s="70"/>
      <c r="O47" s="65"/>
    </row>
    <row r="48" ht="12.75" customHeight="1">
      <c r="A48" s="8" t="s">
        <v>114</v>
      </c>
      <c r="B48" s="65">
        <f t="shared" ref="B48:M48" si="20">AVERAGE(B30:B42)</f>
        <v>1.118911868</v>
      </c>
      <c r="C48" s="65">
        <f t="shared" si="20"/>
        <v>1.018826422</v>
      </c>
      <c r="D48" s="65">
        <f t="shared" si="20"/>
        <v>1.001215258</v>
      </c>
      <c r="E48" s="65">
        <f t="shared" si="20"/>
        <v>1</v>
      </c>
      <c r="F48" s="65">
        <f t="shared" si="20"/>
        <v>1.000420572</v>
      </c>
      <c r="G48" s="65">
        <f t="shared" si="20"/>
        <v>1</v>
      </c>
      <c r="H48" s="65">
        <f t="shared" si="20"/>
        <v>1</v>
      </c>
      <c r="I48" s="65">
        <f t="shared" si="20"/>
        <v>1</v>
      </c>
      <c r="J48" s="65">
        <f t="shared" si="20"/>
        <v>1</v>
      </c>
      <c r="K48" s="65">
        <f t="shared" si="20"/>
        <v>1</v>
      </c>
      <c r="L48" s="65">
        <f t="shared" si="20"/>
        <v>1</v>
      </c>
      <c r="M48" s="65">
        <f t="shared" si="20"/>
        <v>1</v>
      </c>
      <c r="N48" s="70"/>
      <c r="O48" s="65"/>
    </row>
    <row r="49" ht="12.75" customHeight="1">
      <c r="A49" s="71" t="s">
        <v>76</v>
      </c>
      <c r="B49" s="72">
        <v>1.0</v>
      </c>
      <c r="C49" s="72">
        <v>1.0</v>
      </c>
      <c r="D49" s="72">
        <v>1.0</v>
      </c>
      <c r="E49" s="72">
        <v>1.0</v>
      </c>
      <c r="F49" s="72">
        <v>1.0</v>
      </c>
      <c r="G49" s="72">
        <v>1.0</v>
      </c>
      <c r="H49" s="72">
        <v>1.0</v>
      </c>
      <c r="I49" s="72">
        <v>1.0</v>
      </c>
      <c r="J49" s="72">
        <v>1.0</v>
      </c>
      <c r="K49" s="72">
        <v>1.0</v>
      </c>
      <c r="L49" s="72">
        <v>1.0</v>
      </c>
      <c r="M49" s="72">
        <v>1.0</v>
      </c>
      <c r="N49" s="73">
        <v>1.0</v>
      </c>
      <c r="O49" s="65"/>
    </row>
    <row r="50" ht="12.75" customHeight="1">
      <c r="B50" s="65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ht="12.75" customHeight="1">
      <c r="A51" s="74" t="s">
        <v>115</v>
      </c>
      <c r="B51" s="65" t="s">
        <v>101</v>
      </c>
      <c r="C51" s="65" t="s">
        <v>101</v>
      </c>
      <c r="D51" s="65" t="s">
        <v>101</v>
      </c>
      <c r="E51" s="65" t="s">
        <v>101</v>
      </c>
      <c r="F51" s="65" t="s">
        <v>101</v>
      </c>
      <c r="G51" s="65" t="s">
        <v>101</v>
      </c>
      <c r="H51" s="65" t="s">
        <v>101</v>
      </c>
      <c r="I51" s="65" t="s">
        <v>101</v>
      </c>
      <c r="J51" s="65" t="s">
        <v>101</v>
      </c>
      <c r="K51" s="65" t="s">
        <v>101</v>
      </c>
      <c r="L51" s="65" t="s">
        <v>101</v>
      </c>
      <c r="M51" s="65" t="s">
        <v>101</v>
      </c>
      <c r="N51" s="65" t="s">
        <v>101</v>
      </c>
      <c r="O51" s="65"/>
    </row>
    <row r="52" ht="12.75" customHeight="1">
      <c r="A52" s="69" t="str">
        <f t="shared" ref="A52:A56" si="22">A44</f>
        <v>2 Year</v>
      </c>
      <c r="B52" s="65">
        <f t="shared" ref="B52:M52" si="21">C52*B44</f>
        <v>1.148492125</v>
      </c>
      <c r="C52" s="65">
        <f t="shared" si="21"/>
        <v>1.017873776</v>
      </c>
      <c r="D52" s="65">
        <f t="shared" si="21"/>
        <v>0.999847561</v>
      </c>
      <c r="E52" s="65">
        <f t="shared" si="21"/>
        <v>1</v>
      </c>
      <c r="F52" s="65">
        <f t="shared" si="21"/>
        <v>1</v>
      </c>
      <c r="G52" s="65">
        <f t="shared" si="21"/>
        <v>1</v>
      </c>
      <c r="H52" s="65">
        <f t="shared" si="21"/>
        <v>1</v>
      </c>
      <c r="I52" s="65">
        <f t="shared" si="21"/>
        <v>1</v>
      </c>
      <c r="J52" s="65">
        <f t="shared" si="21"/>
        <v>1</v>
      </c>
      <c r="K52" s="65">
        <f t="shared" si="21"/>
        <v>1</v>
      </c>
      <c r="L52" s="65">
        <f t="shared" si="21"/>
        <v>1</v>
      </c>
      <c r="M52" s="65">
        <f t="shared" si="21"/>
        <v>1</v>
      </c>
      <c r="N52" s="75">
        <v>1.0</v>
      </c>
      <c r="O52" s="65"/>
    </row>
    <row r="53" ht="12.75" customHeight="1">
      <c r="A53" s="69" t="str">
        <f t="shared" si="22"/>
        <v>3 Year</v>
      </c>
      <c r="B53" s="65">
        <f t="shared" ref="B53:M53" si="23">C53*B45</f>
        <v>1.142829577</v>
      </c>
      <c r="C53" s="65">
        <f t="shared" si="23"/>
        <v>1.021454113</v>
      </c>
      <c r="D53" s="65">
        <f t="shared" si="23"/>
        <v>0.999898374</v>
      </c>
      <c r="E53" s="65">
        <f t="shared" si="23"/>
        <v>1</v>
      </c>
      <c r="F53" s="65">
        <f t="shared" si="23"/>
        <v>1</v>
      </c>
      <c r="G53" s="65">
        <f t="shared" si="23"/>
        <v>1</v>
      </c>
      <c r="H53" s="65">
        <f t="shared" si="23"/>
        <v>1</v>
      </c>
      <c r="I53" s="65">
        <f t="shared" si="23"/>
        <v>1</v>
      </c>
      <c r="J53" s="65">
        <f t="shared" si="23"/>
        <v>1</v>
      </c>
      <c r="K53" s="65">
        <f t="shared" si="23"/>
        <v>1</v>
      </c>
      <c r="L53" s="65">
        <f t="shared" si="23"/>
        <v>1</v>
      </c>
      <c r="M53" s="65">
        <f t="shared" si="23"/>
        <v>1</v>
      </c>
      <c r="N53" s="75">
        <v>1.0</v>
      </c>
      <c r="O53" s="65"/>
    </row>
    <row r="54" ht="12.75" customHeight="1">
      <c r="A54" s="69" t="str">
        <f t="shared" si="22"/>
        <v>4 Year</v>
      </c>
      <c r="B54" s="65">
        <f t="shared" ref="B54:M54" si="24">C54*B46</f>
        <v>1.15326657</v>
      </c>
      <c r="C54" s="65">
        <f t="shared" si="24"/>
        <v>1.019907499</v>
      </c>
      <c r="D54" s="65">
        <f t="shared" si="24"/>
        <v>0.9999237805</v>
      </c>
      <c r="E54" s="65">
        <f t="shared" si="24"/>
        <v>1</v>
      </c>
      <c r="F54" s="65">
        <f t="shared" si="24"/>
        <v>1</v>
      </c>
      <c r="G54" s="65">
        <f t="shared" si="24"/>
        <v>1</v>
      </c>
      <c r="H54" s="65">
        <f t="shared" si="24"/>
        <v>1</v>
      </c>
      <c r="I54" s="65">
        <f t="shared" si="24"/>
        <v>1</v>
      </c>
      <c r="J54" s="65">
        <f t="shared" si="24"/>
        <v>1</v>
      </c>
      <c r="K54" s="65">
        <f t="shared" si="24"/>
        <v>1</v>
      </c>
      <c r="L54" s="65">
        <f t="shared" si="24"/>
        <v>1</v>
      </c>
      <c r="M54" s="65">
        <f t="shared" si="24"/>
        <v>1</v>
      </c>
      <c r="N54" s="75">
        <v>1.0</v>
      </c>
      <c r="O54" s="65"/>
    </row>
    <row r="55" ht="12.75" customHeight="1">
      <c r="A55" s="69" t="str">
        <f t="shared" si="22"/>
        <v>5 Year</v>
      </c>
      <c r="B55" s="65">
        <f t="shared" ref="B55:M55" si="25">C55*B47</f>
        <v>1.158523917</v>
      </c>
      <c r="C55" s="65">
        <f t="shared" si="25"/>
        <v>1.021616874</v>
      </c>
      <c r="D55" s="65">
        <f t="shared" si="25"/>
        <v>1.000913236</v>
      </c>
      <c r="E55" s="65">
        <f t="shared" si="25"/>
        <v>1</v>
      </c>
      <c r="F55" s="65">
        <f t="shared" si="25"/>
        <v>1</v>
      </c>
      <c r="G55" s="65">
        <f t="shared" si="25"/>
        <v>1</v>
      </c>
      <c r="H55" s="65">
        <f t="shared" si="25"/>
        <v>1</v>
      </c>
      <c r="I55" s="65">
        <f t="shared" si="25"/>
        <v>1</v>
      </c>
      <c r="J55" s="65">
        <f t="shared" si="25"/>
        <v>1</v>
      </c>
      <c r="K55" s="65">
        <f t="shared" si="25"/>
        <v>1</v>
      </c>
      <c r="L55" s="65">
        <f t="shared" si="25"/>
        <v>1</v>
      </c>
      <c r="M55" s="65">
        <f t="shared" si="25"/>
        <v>1</v>
      </c>
      <c r="N55" s="75">
        <v>1.0</v>
      </c>
      <c r="O55" s="65"/>
    </row>
    <row r="56" ht="12.75" customHeight="1">
      <c r="A56" s="69" t="str">
        <f t="shared" si="22"/>
        <v>All Year</v>
      </c>
      <c r="B56" s="65">
        <f t="shared" ref="B56:M56" si="26">C56*B48</f>
        <v>1.141842366</v>
      </c>
      <c r="C56" s="65">
        <f t="shared" si="26"/>
        <v>1.020493569</v>
      </c>
      <c r="D56" s="65">
        <f t="shared" si="26"/>
        <v>1.001636341</v>
      </c>
      <c r="E56" s="65">
        <f t="shared" si="26"/>
        <v>1.000420572</v>
      </c>
      <c r="F56" s="65">
        <f t="shared" si="26"/>
        <v>1.000420572</v>
      </c>
      <c r="G56" s="65">
        <f t="shared" si="26"/>
        <v>1</v>
      </c>
      <c r="H56" s="65">
        <f t="shared" si="26"/>
        <v>1</v>
      </c>
      <c r="I56" s="65">
        <f t="shared" si="26"/>
        <v>1</v>
      </c>
      <c r="J56" s="65">
        <f t="shared" si="26"/>
        <v>1</v>
      </c>
      <c r="K56" s="65">
        <f t="shared" si="26"/>
        <v>1</v>
      </c>
      <c r="L56" s="65">
        <f t="shared" si="26"/>
        <v>1</v>
      </c>
      <c r="M56" s="65">
        <f t="shared" si="26"/>
        <v>1</v>
      </c>
      <c r="N56" s="75">
        <v>1.0</v>
      </c>
      <c r="O56" s="65"/>
    </row>
    <row r="57" ht="12.75" customHeight="1">
      <c r="A57" s="71" t="s">
        <v>76</v>
      </c>
      <c r="B57" s="72">
        <f t="shared" ref="B57:M57" si="27">B49*C57</f>
        <v>1</v>
      </c>
      <c r="C57" s="72">
        <f t="shared" si="27"/>
        <v>1</v>
      </c>
      <c r="D57" s="72">
        <f t="shared" si="27"/>
        <v>1</v>
      </c>
      <c r="E57" s="72">
        <f t="shared" si="27"/>
        <v>1</v>
      </c>
      <c r="F57" s="72">
        <f t="shared" si="27"/>
        <v>1</v>
      </c>
      <c r="G57" s="72">
        <f t="shared" si="27"/>
        <v>1</v>
      </c>
      <c r="H57" s="72">
        <f t="shared" si="27"/>
        <v>1</v>
      </c>
      <c r="I57" s="72">
        <f t="shared" si="27"/>
        <v>1</v>
      </c>
      <c r="J57" s="72">
        <f t="shared" si="27"/>
        <v>1</v>
      </c>
      <c r="K57" s="72">
        <f t="shared" si="27"/>
        <v>1</v>
      </c>
      <c r="L57" s="72">
        <f t="shared" si="27"/>
        <v>1</v>
      </c>
      <c r="M57" s="72">
        <f t="shared" si="27"/>
        <v>1</v>
      </c>
      <c r="N57" s="73">
        <f>N49</f>
        <v>1</v>
      </c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B2:N2"/>
    <mergeCell ref="B3:N3"/>
    <mergeCell ref="B24:N24"/>
    <mergeCell ref="B25:N2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0.13"/>
    <col customWidth="1" min="6" max="13" width="8.63"/>
    <col customWidth="1" min="14" max="29" width="9.5"/>
  </cols>
  <sheetData>
    <row r="1" ht="12.75" customHeight="1"/>
    <row r="2" ht="12.75" customHeight="1">
      <c r="A2" s="61" t="s">
        <v>101</v>
      </c>
      <c r="B2" s="62" t="s">
        <v>144</v>
      </c>
      <c r="O2" s="62"/>
      <c r="P2" s="61" t="s">
        <v>101</v>
      </c>
      <c r="Q2" s="62" t="s">
        <v>103</v>
      </c>
    </row>
    <row r="3" ht="12.75" customHeight="1">
      <c r="A3" s="30" t="s">
        <v>101</v>
      </c>
      <c r="B3" s="62" t="s">
        <v>145</v>
      </c>
      <c r="O3" s="62"/>
      <c r="P3" s="30" t="s">
        <v>101</v>
      </c>
      <c r="Q3" s="62" t="s">
        <v>146</v>
      </c>
    </row>
    <row r="4" ht="12.75" customHeight="1">
      <c r="A4" s="30"/>
      <c r="P4" s="30"/>
    </row>
    <row r="5" ht="12.75" customHeight="1">
      <c r="A5" s="30" t="s">
        <v>74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 t="s">
        <v>74</v>
      </c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ht="12.75" customHeight="1">
      <c r="A6" s="63" t="s">
        <v>84</v>
      </c>
      <c r="B6" s="30">
        <v>12.0</v>
      </c>
      <c r="C6" s="30">
        <v>24.0</v>
      </c>
      <c r="D6" s="30">
        <v>36.0</v>
      </c>
      <c r="E6" s="30">
        <v>48.0</v>
      </c>
      <c r="F6" s="30">
        <v>60.0</v>
      </c>
      <c r="G6" s="30">
        <v>72.0</v>
      </c>
      <c r="H6" s="30">
        <v>84.0</v>
      </c>
      <c r="I6" s="30">
        <v>96.0</v>
      </c>
      <c r="J6" s="30">
        <v>108.0</v>
      </c>
      <c r="K6" s="30">
        <v>120.0</v>
      </c>
      <c r="L6" s="30">
        <v>132.0</v>
      </c>
      <c r="M6" s="30">
        <v>144.0</v>
      </c>
      <c r="N6" s="30">
        <v>156.0</v>
      </c>
      <c r="O6" s="30"/>
      <c r="P6" s="63" t="s">
        <v>84</v>
      </c>
      <c r="Q6" s="30">
        <v>12.0</v>
      </c>
      <c r="R6" s="30">
        <v>24.0</v>
      </c>
      <c r="S6" s="30">
        <v>36.0</v>
      </c>
      <c r="T6" s="30">
        <v>48.0</v>
      </c>
      <c r="U6" s="30">
        <v>60.0</v>
      </c>
      <c r="V6" s="30">
        <v>72.0</v>
      </c>
      <c r="W6" s="30">
        <v>84.0</v>
      </c>
      <c r="X6" s="30">
        <v>96.0</v>
      </c>
      <c r="Y6" s="30">
        <v>108.0</v>
      </c>
      <c r="Z6" s="30">
        <v>120.0</v>
      </c>
      <c r="AA6" s="30">
        <v>132.0</v>
      </c>
      <c r="AB6" s="30">
        <v>144.0</v>
      </c>
      <c r="AC6" s="30">
        <v>156.0</v>
      </c>
    </row>
    <row r="7" ht="12.75" customHeight="1">
      <c r="A7" s="63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3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</row>
    <row r="8" ht="12.75" customHeight="1">
      <c r="A8" s="30">
        <v>2003.0</v>
      </c>
      <c r="B8" s="65"/>
      <c r="C8" s="66"/>
      <c r="D8" s="66"/>
      <c r="E8" s="66"/>
      <c r="F8" s="66"/>
      <c r="G8" s="66"/>
      <c r="H8" s="66"/>
      <c r="I8" s="66">
        <f>Base_Indem_Tri!I8*1000/Rep_Tri!I8</f>
        <v>16205.10304</v>
      </c>
      <c r="J8" s="66">
        <f>Base_Indem_Tri!J8*1000/Rep_Tri!J8</f>
        <v>16521.9104</v>
      </c>
      <c r="K8" s="66">
        <f>Base_Indem_Tri!K8*1000/Rep_Tri!K8</f>
        <v>16680.37942</v>
      </c>
      <c r="L8" s="66">
        <f>Base_Indem_Tri!L8*1000/Rep_Tri!L8</f>
        <v>16364.36546</v>
      </c>
      <c r="M8" s="66">
        <f>Base_Indem_Tri!M8*1000/Rep_Tri!M8</f>
        <v>16678.13</v>
      </c>
      <c r="N8" s="66">
        <f>Base_Indem_Tri!N8*1000/Rep_Tri!N8</f>
        <v>16513</v>
      </c>
      <c r="O8" s="66"/>
      <c r="P8" s="30">
        <v>2003.0</v>
      </c>
      <c r="Q8" s="65"/>
      <c r="R8" s="66"/>
      <c r="S8" s="66"/>
      <c r="T8" s="66"/>
      <c r="U8" s="66"/>
      <c r="V8" s="66"/>
      <c r="W8" s="66"/>
      <c r="X8" s="66">
        <f>Base_Indem_Tri!X8*1000/Rep_Tri!I8</f>
        <v>15303.98517</v>
      </c>
      <c r="Y8" s="66">
        <f>Base_Indem_Tri!Y8*1000/Rep_Tri!J8</f>
        <v>15693.87535</v>
      </c>
      <c r="Z8" s="66">
        <f>Base_Indem_Tri!Z8*1000/Rep_Tri!K8</f>
        <v>16053.71387</v>
      </c>
      <c r="AA8" s="66">
        <f>Base_Indem_Tri!AA8*1000/Rep_Tri!L8</f>
        <v>16053.71387</v>
      </c>
      <c r="AB8" s="66">
        <f>Base_Indem_Tri!AB8*1000/Rep_Tri!M8</f>
        <v>16398.23391</v>
      </c>
      <c r="AC8" s="66">
        <f>Base_Indem_Tri!AC8*1000/Rep_Tri!N8</f>
        <v>16513</v>
      </c>
    </row>
    <row r="9" ht="12.75" customHeight="1">
      <c r="A9" s="30">
        <v>2004.0</v>
      </c>
      <c r="B9" s="66"/>
      <c r="C9" s="66"/>
      <c r="D9" s="66"/>
      <c r="E9" s="66"/>
      <c r="F9" s="66"/>
      <c r="G9" s="66"/>
      <c r="H9" s="66">
        <f>Base_Indem_Tri!H9*1000/Rep_Tri!H9</f>
        <v>16597.50345</v>
      </c>
      <c r="I9" s="66">
        <f>Base_Indem_Tri!I9*1000/Rep_Tri!I9</f>
        <v>16481.32093</v>
      </c>
      <c r="J9" s="66">
        <f>Base_Indem_Tri!J9*1000/Rep_Tri!J9</f>
        <v>17259.07922</v>
      </c>
      <c r="K9" s="66">
        <f>Base_Indem_Tri!K9*1000/Rep_Tri!K9</f>
        <v>17425.68907</v>
      </c>
      <c r="L9" s="66">
        <f>Base_Indem_Tri!L9*1000/Rep_Tri!L9</f>
        <v>17864.90875</v>
      </c>
      <c r="M9" s="66">
        <f>Base_Indem_Tri!M9*1000/Rep_Tri!M9</f>
        <v>17717.42</v>
      </c>
      <c r="N9" s="66"/>
      <c r="O9" s="66"/>
      <c r="P9" s="30">
        <v>2004.0</v>
      </c>
      <c r="Q9" s="66"/>
      <c r="R9" s="66"/>
      <c r="S9" s="66"/>
      <c r="T9" s="66"/>
      <c r="U9" s="66"/>
      <c r="V9" s="66"/>
      <c r="W9" s="66">
        <f>Base_Indem_Tri!W9*1000/Rep_Tri!H9</f>
        <v>15454.13642</v>
      </c>
      <c r="X9" s="66">
        <f>Base_Indem_Tri!X9*1000/Rep_Tri!I9</f>
        <v>15685.94846</v>
      </c>
      <c r="Y9" s="66">
        <f>Base_Indem_Tri!Y9*1000/Rep_Tri!J9</f>
        <v>16272.01754</v>
      </c>
      <c r="Z9" s="66">
        <f>Base_Indem_Tri!Z9*1000/Rep_Tri!K9</f>
        <v>16504.61891</v>
      </c>
      <c r="AA9" s="66">
        <f>Base_Indem_Tri!AA9*1000/Rep_Tri!L9</f>
        <v>17088.82997</v>
      </c>
      <c r="AB9" s="66">
        <f>Base_Indem_Tri!AB9*1000/Rep_Tri!M9</f>
        <v>17420.08231</v>
      </c>
      <c r="AC9" s="66"/>
    </row>
    <row r="10" ht="12.75" customHeight="1">
      <c r="A10" s="30">
        <v>2005.0</v>
      </c>
      <c r="B10" s="66"/>
      <c r="C10" s="66"/>
      <c r="D10" s="66"/>
      <c r="E10" s="66"/>
      <c r="F10" s="66"/>
      <c r="G10" s="66">
        <f>Base_Indem_Tri!G10*1000/Rep_Tri!G10</f>
        <v>17463.22414</v>
      </c>
      <c r="H10" s="66">
        <f>Base_Indem_Tri!H10*1000/Rep_Tri!H10</f>
        <v>17323.51834</v>
      </c>
      <c r="I10" s="66">
        <f>Base_Indem_Tri!I10*1000/Rep_Tri!I10</f>
        <v>17288.87131</v>
      </c>
      <c r="J10" s="66">
        <f>Base_Indem_Tri!J10*1000/Rep_Tri!J10</f>
        <v>17175.78406</v>
      </c>
      <c r="K10" s="66">
        <f>Base_Indem_Tri!K10*1000/Rep_Tri!K10</f>
        <v>17524.57929</v>
      </c>
      <c r="L10" s="66">
        <f>Base_Indem_Tri!L10*1000/Rep_Tri!L10</f>
        <v>17421.32814</v>
      </c>
      <c r="M10" s="66"/>
      <c r="N10" s="66"/>
      <c r="O10" s="66"/>
      <c r="P10" s="30">
        <v>2005.0</v>
      </c>
      <c r="Q10" s="66"/>
      <c r="R10" s="66"/>
      <c r="S10" s="66"/>
      <c r="T10" s="66"/>
      <c r="U10" s="66"/>
      <c r="V10" s="66">
        <f>Base_Indem_Tri!V10*1000/Rep_Tri!G10</f>
        <v>15390.44682</v>
      </c>
      <c r="W10" s="66">
        <f>Base_Indem_Tri!W10*1000/Rep_Tri!H10</f>
        <v>15852.16023</v>
      </c>
      <c r="X10" s="66">
        <f>Base_Indem_Tri!X10*1000/Rep_Tri!I10</f>
        <v>16200.90775</v>
      </c>
      <c r="Y10" s="66">
        <f>Base_Indem_Tri!Y10*1000/Rep_Tri!J10</f>
        <v>16257.40778</v>
      </c>
      <c r="Z10" s="66">
        <f>Base_Indem_Tri!Z10*1000/Rep_Tri!K10</f>
        <v>16685.55396</v>
      </c>
      <c r="AA10" s="66">
        <f>Base_Indem_Tri!AA10*1000/Rep_Tri!L10</f>
        <v>16877.78223</v>
      </c>
      <c r="AB10" s="66"/>
      <c r="AC10" s="66"/>
    </row>
    <row r="11" ht="12.75" customHeight="1">
      <c r="A11" s="30">
        <v>2006.0</v>
      </c>
      <c r="B11" s="66"/>
      <c r="C11" s="66"/>
      <c r="D11" s="66"/>
      <c r="E11" s="66"/>
      <c r="F11" s="66">
        <f>Base_Indem_Tri!F11*1000/Rep_Tri!F11</f>
        <v>18346.71784</v>
      </c>
      <c r="G11" s="66">
        <f>Base_Indem_Tri!G11*1000/Rep_Tri!G11</f>
        <v>18181.59738</v>
      </c>
      <c r="H11" s="66">
        <f>Base_Indem_Tri!H11*1000/Rep_Tri!H11</f>
        <v>17945.23661</v>
      </c>
      <c r="I11" s="66">
        <f>Base_Indem_Tri!I11*1000/Rep_Tri!I11</f>
        <v>17999.07232</v>
      </c>
      <c r="J11" s="66">
        <f>Base_Indem_Tri!J11*1000/Rep_Tri!J11</f>
        <v>18115.32459</v>
      </c>
      <c r="K11" s="66">
        <f>Base_Indem_Tri!K11*1000/Rep_Tri!K11</f>
        <v>17933.33486</v>
      </c>
      <c r="L11" s="66"/>
      <c r="M11" s="66"/>
      <c r="N11" s="66"/>
      <c r="O11" s="66"/>
      <c r="P11" s="30">
        <v>2006.0</v>
      </c>
      <c r="Q11" s="66"/>
      <c r="R11" s="66"/>
      <c r="S11" s="66"/>
      <c r="T11" s="66"/>
      <c r="U11" s="66">
        <f>Base_Indem_Tri!U11*1000/Rep_Tri!F11</f>
        <v>14759.23931</v>
      </c>
      <c r="V11" s="66">
        <f>Base_Indem_Tri!V11*1000/Rep_Tri!G11</f>
        <v>15644.79367</v>
      </c>
      <c r="W11" s="66">
        <f>Base_Indem_Tri!W11*1000/Rep_Tri!H11</f>
        <v>16145.42707</v>
      </c>
      <c r="X11" s="66">
        <f>Base_Indem_Tri!X11*1000/Rep_Tri!I11</f>
        <v>16549.06274</v>
      </c>
      <c r="Y11" s="66">
        <f>Base_Indem_Tri!Y11*1000/Rep_Tri!J11</f>
        <v>16939.09943</v>
      </c>
      <c r="Z11" s="66">
        <f>Base_Indem_Tri!Z11*1000/Rep_Tri!K11</f>
        <v>17124.01166</v>
      </c>
      <c r="AA11" s="66"/>
      <c r="AB11" s="66"/>
      <c r="AC11" s="66"/>
    </row>
    <row r="12" ht="12.75" customHeight="1">
      <c r="A12" s="30">
        <v>2007.0</v>
      </c>
      <c r="B12" s="66"/>
      <c r="C12" s="66"/>
      <c r="D12" s="66"/>
      <c r="E12" s="66">
        <f>Base_Indem_Tri!E12*1000/Rep_Tri!E12</f>
        <v>19380.78266</v>
      </c>
      <c r="F12" s="66">
        <f>Base_Indem_Tri!F12*1000/Rep_Tri!F12</f>
        <v>19400.16344</v>
      </c>
      <c r="G12" s="66">
        <f>Base_Indem_Tri!G12*1000/Rep_Tri!G12</f>
        <v>19303.16262</v>
      </c>
      <c r="H12" s="66">
        <f>Base_Indem_Tri!H12*1000/Rep_Tri!H12</f>
        <v>19361.07211</v>
      </c>
      <c r="I12" s="66">
        <f>Base_Indem_Tri!I12*1000/Rep_Tri!I12</f>
        <v>19167.46139</v>
      </c>
      <c r="J12" s="66">
        <f>Base_Indem_Tri!J12*1000/Rep_Tri!J12</f>
        <v>19061.74884</v>
      </c>
      <c r="K12" s="66"/>
      <c r="L12" s="66"/>
      <c r="M12" s="66"/>
      <c r="N12" s="66"/>
      <c r="O12" s="66"/>
      <c r="P12" s="30">
        <v>2007.0</v>
      </c>
      <c r="Q12" s="66"/>
      <c r="R12" s="66"/>
      <c r="S12" s="66"/>
      <c r="T12" s="66">
        <f>Base_Indem_Tri!T12*1000/Rep_Tri!E12</f>
        <v>14136.81616</v>
      </c>
      <c r="U12" s="66">
        <f>Base_Indem_Tri!U12*1000/Rep_Tri!F12</f>
        <v>15762.55002</v>
      </c>
      <c r="V12" s="66">
        <f>Base_Indem_Tri!V12*1000/Rep_Tri!G12</f>
        <v>16802.87832</v>
      </c>
      <c r="W12" s="66">
        <f>Base_Indem_Tri!W12*1000/Rep_Tri!H12</f>
        <v>17474.99345</v>
      </c>
      <c r="X12" s="66">
        <f>Base_Indem_Tri!X12*1000/Rep_Tri!I12</f>
        <v>17772.06834</v>
      </c>
      <c r="Y12" s="66">
        <f>Base_Indem_Tri!Y12*1000/Rep_Tri!J12</f>
        <v>17980.39167</v>
      </c>
      <c r="Z12" s="66"/>
      <c r="AA12" s="66"/>
      <c r="AB12" s="66"/>
      <c r="AC12" s="66"/>
    </row>
    <row r="13" ht="12.75" customHeight="1">
      <c r="A13" s="30">
        <v>2008.0</v>
      </c>
      <c r="B13" s="66"/>
      <c r="C13" s="66"/>
      <c r="D13" s="66">
        <f>Base_Indem_Tri!D13*1000/Rep_Tri!D13</f>
        <v>19829.96841</v>
      </c>
      <c r="E13" s="66">
        <f>Base_Indem_Tri!E13*1000/Rep_Tri!E13</f>
        <v>20424.5282</v>
      </c>
      <c r="F13" s="66">
        <f>Base_Indem_Tri!F13*1000/Rep_Tri!F13</f>
        <v>20506.22631</v>
      </c>
      <c r="G13" s="66">
        <f>Base_Indem_Tri!G13*1000/Rep_Tri!G13</f>
        <v>20362.68273</v>
      </c>
      <c r="H13" s="66">
        <f>Base_Indem_Tri!H13*1000/Rep_Tri!H13</f>
        <v>20321.95737</v>
      </c>
      <c r="I13" s="66">
        <f>Base_Indem_Tri!I13*1000/Rep_Tri!I13</f>
        <v>20118.73779</v>
      </c>
      <c r="J13" s="66"/>
      <c r="K13" s="66"/>
      <c r="L13" s="66"/>
      <c r="M13" s="66"/>
      <c r="N13" s="66"/>
      <c r="P13" s="30">
        <v>2008.0</v>
      </c>
      <c r="Q13" s="66"/>
      <c r="R13" s="66"/>
      <c r="S13" s="66">
        <f>Base_Indem_Tri!S13*1000/Rep_Tri!D13</f>
        <v>12367.46661</v>
      </c>
      <c r="T13" s="66">
        <f>Base_Indem_Tri!T13*1000/Rep_Tri!E13</f>
        <v>14916.70934</v>
      </c>
      <c r="U13" s="66">
        <f>Base_Indem_Tri!U13*1000/Rep_Tri!F13</f>
        <v>16960.29852</v>
      </c>
      <c r="V13" s="66">
        <f>Base_Indem_Tri!V13*1000/Rep_Tri!G13</f>
        <v>17927.03553</v>
      </c>
      <c r="W13" s="66">
        <f>Base_Indem_Tri!W13*1000/Rep_Tri!H13</f>
        <v>18464.8466</v>
      </c>
      <c r="X13" s="66">
        <f>Base_Indem_Tri!X13*1000/Rep_Tri!I13</f>
        <v>18741.8193</v>
      </c>
      <c r="Y13" s="66"/>
      <c r="Z13" s="66"/>
      <c r="AA13" s="66"/>
      <c r="AB13" s="66"/>
      <c r="AC13" s="66"/>
    </row>
    <row r="14" ht="12.75" customHeight="1">
      <c r="A14" s="30">
        <v>2009.0</v>
      </c>
      <c r="B14" s="66"/>
      <c r="C14" s="66">
        <f>Base_Indem_Tri!C14*1000/Rep_Tri!C14</f>
        <v>20399.78656</v>
      </c>
      <c r="D14" s="66">
        <f>Base_Indem_Tri!D14*1000/Rep_Tri!D14</f>
        <v>21904.97594</v>
      </c>
      <c r="E14" s="66">
        <f>Base_Indem_Tri!E14*1000/Rep_Tri!E14</f>
        <v>22627.84014</v>
      </c>
      <c r="F14" s="66">
        <f>Base_Indem_Tri!F14*1000/Rep_Tri!F14</f>
        <v>22537.32878</v>
      </c>
      <c r="G14" s="66">
        <f>Base_Indem_Tri!G14*1000/Rep_Tri!G14</f>
        <v>22424.64214</v>
      </c>
      <c r="H14" s="66">
        <f>Base_Indem_Tri!H14*1000/Rep_Tri!H14</f>
        <v>22334.94357</v>
      </c>
      <c r="I14" s="66"/>
      <c r="J14" s="66"/>
      <c r="K14" s="66"/>
      <c r="L14" s="66"/>
      <c r="M14" s="66"/>
      <c r="P14" s="30">
        <v>2009.0</v>
      </c>
      <c r="Q14" s="66"/>
      <c r="R14" s="66">
        <f>Base_Indem_Tri!R14*1000/Rep_Tri!C14</f>
        <v>9148.035116</v>
      </c>
      <c r="S14" s="66">
        <f>Base_Indem_Tri!S14*1000/Rep_Tri!D14</f>
        <v>13478.7193</v>
      </c>
      <c r="T14" s="66">
        <f>Base_Indem_Tri!T14*1000/Rep_Tri!E14</f>
        <v>16659.69706</v>
      </c>
      <c r="U14" s="66">
        <f>Base_Indem_Tri!U14*1000/Rep_Tri!F14</f>
        <v>18625.54131</v>
      </c>
      <c r="V14" s="66">
        <f>Base_Indem_Tri!V14*1000/Rep_Tri!G14</f>
        <v>19761.69933</v>
      </c>
      <c r="W14" s="66">
        <f>Base_Indem_Tri!W14*1000/Rep_Tri!H14</f>
        <v>20295.26521</v>
      </c>
      <c r="X14" s="66"/>
      <c r="Y14" s="66"/>
      <c r="Z14" s="66"/>
      <c r="AA14" s="66"/>
      <c r="AB14" s="66"/>
    </row>
    <row r="15" ht="12.75" customHeight="1">
      <c r="A15" s="30">
        <v>2010.0</v>
      </c>
      <c r="B15" s="66">
        <f>Base_Indem_Tri!B15*1000/Rep_Tri!B15</f>
        <v>17156.21965</v>
      </c>
      <c r="C15" s="66">
        <f>Base_Indem_Tri!C15*1000/Rep_Tri!C15</f>
        <v>19728.44664</v>
      </c>
      <c r="D15" s="66">
        <f>Base_Indem_Tri!D15*1000/Rep_Tri!D15</f>
        <v>21569.27388</v>
      </c>
      <c r="E15" s="66">
        <f>Base_Indem_Tri!E15*1000/Rep_Tri!E15</f>
        <v>22324.19847</v>
      </c>
      <c r="F15" s="66">
        <f>Base_Indem_Tri!F15*1000/Rep_Tri!F15</f>
        <v>22234.90167</v>
      </c>
      <c r="G15" s="66">
        <f>Base_Indem_Tri!G15*1000/Rep_Tri!G15</f>
        <v>22279.37147</v>
      </c>
      <c r="P15" s="30">
        <v>2010.0</v>
      </c>
      <c r="Q15" s="66">
        <f>Base_Indem_Tri!Q15*1000/Rep_Tri!B15</f>
        <v>3800.849778</v>
      </c>
      <c r="R15" s="66">
        <f>Base_Indem_Tri!R15*1000/Rep_Tri!C15</f>
        <v>8804.379579</v>
      </c>
      <c r="S15" s="66">
        <f>Base_Indem_Tri!S15*1000/Rep_Tri!D15</f>
        <v>13441.57349</v>
      </c>
      <c r="T15" s="66">
        <f>Base_Indem_Tri!T15*1000/Rep_Tri!E15</f>
        <v>16533.13539</v>
      </c>
      <c r="U15" s="66">
        <f>Base_Indem_Tri!U15*1000/Rep_Tri!F15</f>
        <v>18467.51223</v>
      </c>
      <c r="V15" s="66">
        <f>Base_Indem_Tri!V15*1000/Rep_Tri!G15</f>
        <v>19575.56296</v>
      </c>
    </row>
    <row r="16" ht="12.75" customHeight="1">
      <c r="A16" s="30">
        <v>2011.0</v>
      </c>
      <c r="B16" s="66">
        <f>Base_Indem_Tri!B16*1000/Rep_Tri!B16</f>
        <v>16974.07486</v>
      </c>
      <c r="C16" s="66">
        <f>Base_Indem_Tri!C16*1000/Rep_Tri!C16</f>
        <v>19905.3788</v>
      </c>
      <c r="D16" s="66">
        <f>Base_Indem_Tri!D16*1000/Rep_Tri!D16</f>
        <v>21538.34818</v>
      </c>
      <c r="E16" s="66">
        <f>Base_Indem_Tri!E16*1000/Rep_Tri!E16</f>
        <v>22141.42193</v>
      </c>
      <c r="F16" s="66">
        <f>Base_Indem_Tri!F16*1000/Rep_Tri!F16</f>
        <v>22340.69473</v>
      </c>
      <c r="N16" s="65"/>
      <c r="O16" s="65"/>
      <c r="P16" s="30">
        <v>2011.0</v>
      </c>
      <c r="Q16" s="66">
        <f>Base_Indem_Tri!Q16*1000/Rep_Tri!B16</f>
        <v>3798.899743</v>
      </c>
      <c r="R16" s="66">
        <f>Base_Indem_Tri!R16*1000/Rep_Tri!C16</f>
        <v>8906.629746</v>
      </c>
      <c r="S16" s="66">
        <f>Base_Indem_Tri!S16*1000/Rep_Tri!D16</f>
        <v>13386.58102</v>
      </c>
      <c r="T16" s="66">
        <f>Base_Indem_Tri!T16*1000/Rep_Tri!E16</f>
        <v>16545.81414</v>
      </c>
      <c r="U16" s="66">
        <f>Base_Indem_Tri!U16*1000/Rep_Tri!F16</f>
        <v>18448.58276</v>
      </c>
      <c r="AC16" s="65"/>
    </row>
    <row r="17" ht="12.75" customHeight="1">
      <c r="A17" s="30">
        <v>2012.0</v>
      </c>
      <c r="B17" s="66">
        <f>Base_Indem_Tri!B17*1000/Rep_Tri!B17</f>
        <v>15846.82705</v>
      </c>
      <c r="C17" s="66">
        <f>Base_Indem_Tri!C17*1000/Rep_Tri!C17</f>
        <v>21276.33636</v>
      </c>
      <c r="D17" s="66">
        <f>Base_Indem_Tri!D17*1000/Rep_Tri!D17</f>
        <v>23892.21446</v>
      </c>
      <c r="E17" s="66">
        <f>Base_Indem_Tri!E17*1000/Rep_Tri!E17</f>
        <v>24715.73224</v>
      </c>
      <c r="N17" s="65"/>
      <c r="O17" s="65"/>
      <c r="P17" s="30">
        <v>2012.0</v>
      </c>
      <c r="Q17" s="66">
        <f>Base_Indem_Tri!Q17*1000/Rep_Tri!B17</f>
        <v>3380.455056</v>
      </c>
      <c r="R17" s="66">
        <f>Base_Indem_Tri!R17*1000/Rep_Tri!C17</f>
        <v>10037.01728</v>
      </c>
      <c r="S17" s="66">
        <f>Base_Indem_Tri!S17*1000/Rep_Tri!D17</f>
        <v>15301.08236</v>
      </c>
      <c r="T17" s="66">
        <f>Base_Indem_Tri!T17*1000/Rep_Tri!E17</f>
        <v>18920.82154</v>
      </c>
      <c r="AC17" s="65"/>
    </row>
    <row r="18" ht="12.75" customHeight="1">
      <c r="A18" s="30">
        <v>2013.0</v>
      </c>
      <c r="B18" s="66">
        <f>Base_Indem_Tri!B18*1000/Rep_Tri!B18</f>
        <v>15857.27987</v>
      </c>
      <c r="C18" s="66">
        <f>Base_Indem_Tri!C18*1000/Rep_Tri!C18</f>
        <v>18868.46498</v>
      </c>
      <c r="D18" s="66">
        <f>Base_Indem_Tri!D18*1000/Rep_Tri!D18</f>
        <v>21328.4908</v>
      </c>
      <c r="N18" s="65"/>
      <c r="O18" s="65"/>
      <c r="P18" s="30">
        <v>2013.0</v>
      </c>
      <c r="Q18" s="66">
        <f>Base_Indem_Tri!Q18*1000/Rep_Tri!B18</f>
        <v>3463.856358</v>
      </c>
      <c r="R18" s="66">
        <f>Base_Indem_Tri!R18*1000/Rep_Tri!C18</f>
        <v>8840.794305</v>
      </c>
      <c r="S18" s="66">
        <f>Base_Indem_Tri!S18*1000/Rep_Tri!D18</f>
        <v>13341.97654</v>
      </c>
      <c r="AC18" s="65"/>
    </row>
    <row r="19" ht="12.75" customHeight="1">
      <c r="A19" s="30">
        <v>2014.0</v>
      </c>
      <c r="B19" s="66">
        <f>Base_Indem_Tri!B19*1000/Rep_Tri!B19</f>
        <v>14872.84356</v>
      </c>
      <c r="C19" s="66">
        <f>Base_Indem_Tri!C19*1000/Rep_Tri!C19</f>
        <v>19900.08265</v>
      </c>
      <c r="D19" s="65"/>
      <c r="N19" s="65"/>
      <c r="O19" s="65"/>
      <c r="P19" s="30">
        <v>2014.0</v>
      </c>
      <c r="Q19" s="66">
        <f>Base_Indem_Tri!Q19*1000/Rep_Tri!B19</f>
        <v>3545.108655</v>
      </c>
      <c r="R19" s="66">
        <f>Base_Indem_Tri!R19*1000/Rep_Tri!C19</f>
        <v>9030.415162</v>
      </c>
      <c r="S19" s="65"/>
      <c r="AC19" s="65"/>
    </row>
    <row r="20" ht="12.75" customHeight="1">
      <c r="A20" s="30">
        <v>2015.0</v>
      </c>
      <c r="B20" s="66">
        <f>Base_Indem_Tri!B20*1000/Rep_Tri!B20</f>
        <v>16947.70312</v>
      </c>
      <c r="P20" s="30">
        <v>2015.0</v>
      </c>
      <c r="Q20" s="66">
        <f>Base_Indem_Tri!Q20*1000/Rep_Tri!B20</f>
        <v>3799.837848</v>
      </c>
    </row>
    <row r="21" ht="12.75" customHeight="1"/>
    <row r="22" ht="12.75" customHeight="1"/>
    <row r="23" ht="12.75" customHeight="1"/>
    <row r="24" ht="12.75" customHeight="1">
      <c r="A24" s="61" t="s">
        <v>101</v>
      </c>
      <c r="B24" s="62" t="s">
        <v>147</v>
      </c>
      <c r="O24" s="62"/>
      <c r="P24" s="61" t="s">
        <v>101</v>
      </c>
      <c r="Q24" s="62" t="s">
        <v>148</v>
      </c>
    </row>
    <row r="25" ht="12.75" customHeight="1">
      <c r="A25" s="30" t="s">
        <v>101</v>
      </c>
      <c r="B25" s="62" t="str">
        <f>B3</f>
        <v>INDEMNITY INCURRED SEVERITY</v>
      </c>
      <c r="O25" s="62"/>
      <c r="P25" s="30" t="s">
        <v>101</v>
      </c>
      <c r="Q25" s="62" t="str">
        <f>Q3</f>
        <v>INDEMNITY PAID SEVERITY</v>
      </c>
    </row>
    <row r="26" ht="12.75" customHeight="1">
      <c r="A26" s="30"/>
      <c r="B26" s="30">
        <v>12.0</v>
      </c>
      <c r="C26" s="30">
        <v>24.0</v>
      </c>
      <c r="D26" s="30">
        <v>36.0</v>
      </c>
      <c r="E26" s="30">
        <v>48.0</v>
      </c>
      <c r="F26" s="30">
        <v>60.0</v>
      </c>
      <c r="G26" s="30">
        <v>72.0</v>
      </c>
      <c r="H26" s="30">
        <v>84.0</v>
      </c>
      <c r="I26" s="30">
        <v>96.0</v>
      </c>
      <c r="J26" s="30">
        <v>108.0</v>
      </c>
      <c r="K26" s="30">
        <v>120.0</v>
      </c>
      <c r="L26" s="30">
        <v>132.0</v>
      </c>
      <c r="M26" s="30">
        <v>144.0</v>
      </c>
      <c r="N26" s="30">
        <v>156.0</v>
      </c>
      <c r="O26" s="30"/>
      <c r="P26" s="30"/>
      <c r="Q26" s="30">
        <v>12.0</v>
      </c>
      <c r="R26" s="30">
        <v>24.0</v>
      </c>
      <c r="S26" s="30">
        <v>36.0</v>
      </c>
      <c r="T26" s="30">
        <v>48.0</v>
      </c>
      <c r="U26" s="30">
        <v>60.0</v>
      </c>
      <c r="V26" s="30">
        <v>72.0</v>
      </c>
      <c r="W26" s="30">
        <v>84.0</v>
      </c>
      <c r="X26" s="30">
        <v>96.0</v>
      </c>
      <c r="Y26" s="30">
        <v>108.0</v>
      </c>
      <c r="Z26" s="30">
        <v>120.0</v>
      </c>
      <c r="AA26" s="30">
        <v>132.0</v>
      </c>
      <c r="AB26" s="30">
        <v>144.0</v>
      </c>
      <c r="AC26" s="30">
        <v>156.0</v>
      </c>
    </row>
    <row r="27" ht="12.75" customHeight="1">
      <c r="A27" s="30" t="s">
        <v>74</v>
      </c>
      <c r="B27" s="30" t="s">
        <v>108</v>
      </c>
      <c r="C27" s="30" t="s">
        <v>108</v>
      </c>
      <c r="D27" s="30" t="s">
        <v>108</v>
      </c>
      <c r="E27" s="30" t="s">
        <v>108</v>
      </c>
      <c r="F27" s="30" t="s">
        <v>108</v>
      </c>
      <c r="G27" s="30" t="s">
        <v>108</v>
      </c>
      <c r="H27" s="30" t="s">
        <v>108</v>
      </c>
      <c r="I27" s="30" t="s">
        <v>108</v>
      </c>
      <c r="J27" s="30" t="s">
        <v>108</v>
      </c>
      <c r="K27" s="30" t="s">
        <v>108</v>
      </c>
      <c r="L27" s="30" t="s">
        <v>108</v>
      </c>
      <c r="M27" s="30" t="s">
        <v>108</v>
      </c>
      <c r="N27" s="30" t="s">
        <v>108</v>
      </c>
      <c r="O27" s="30"/>
      <c r="P27" s="30" t="s">
        <v>74</v>
      </c>
      <c r="Q27" s="30" t="s">
        <v>108</v>
      </c>
      <c r="R27" s="30" t="s">
        <v>108</v>
      </c>
      <c r="S27" s="30" t="s">
        <v>108</v>
      </c>
      <c r="T27" s="30" t="s">
        <v>108</v>
      </c>
      <c r="U27" s="30" t="s">
        <v>108</v>
      </c>
      <c r="V27" s="30" t="s">
        <v>108</v>
      </c>
      <c r="W27" s="30" t="s">
        <v>108</v>
      </c>
      <c r="X27" s="30" t="s">
        <v>108</v>
      </c>
      <c r="Y27" s="30" t="s">
        <v>108</v>
      </c>
      <c r="Z27" s="30" t="s">
        <v>108</v>
      </c>
      <c r="AA27" s="30" t="s">
        <v>108</v>
      </c>
      <c r="AB27" s="30" t="s">
        <v>108</v>
      </c>
      <c r="AC27" s="30" t="s">
        <v>108</v>
      </c>
    </row>
    <row r="28" ht="12.75" customHeight="1">
      <c r="A28" s="63" t="s">
        <v>84</v>
      </c>
      <c r="B28" s="67">
        <v>24.0</v>
      </c>
      <c r="C28" s="67">
        <v>36.0</v>
      </c>
      <c r="D28" s="67">
        <v>48.0</v>
      </c>
      <c r="E28" s="67">
        <v>60.0</v>
      </c>
      <c r="F28" s="67">
        <v>72.0</v>
      </c>
      <c r="G28" s="67">
        <v>84.0</v>
      </c>
      <c r="H28" s="67">
        <v>96.0</v>
      </c>
      <c r="I28" s="67">
        <v>108.0</v>
      </c>
      <c r="J28" s="67">
        <v>120.0</v>
      </c>
      <c r="K28" s="67">
        <v>132.0</v>
      </c>
      <c r="L28" s="67">
        <v>144.0</v>
      </c>
      <c r="M28" s="67">
        <v>156.0</v>
      </c>
      <c r="N28" s="67" t="s">
        <v>77</v>
      </c>
      <c r="O28" s="67"/>
      <c r="P28" s="63" t="s">
        <v>84</v>
      </c>
      <c r="Q28" s="67">
        <v>24.0</v>
      </c>
      <c r="R28" s="67">
        <v>36.0</v>
      </c>
      <c r="S28" s="67">
        <v>48.0</v>
      </c>
      <c r="T28" s="67">
        <v>60.0</v>
      </c>
      <c r="U28" s="67">
        <v>72.0</v>
      </c>
      <c r="V28" s="67">
        <v>84.0</v>
      </c>
      <c r="W28" s="67">
        <v>96.0</v>
      </c>
      <c r="X28" s="67">
        <v>108.0</v>
      </c>
      <c r="Y28" s="67">
        <v>120.0</v>
      </c>
      <c r="Z28" s="67">
        <v>132.0</v>
      </c>
      <c r="AA28" s="67">
        <v>144.0</v>
      </c>
      <c r="AB28" s="67">
        <v>156.0</v>
      </c>
      <c r="AC28" s="67" t="s">
        <v>77</v>
      </c>
    </row>
    <row r="29" ht="12.75" customHeight="1">
      <c r="A29" s="63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5"/>
      <c r="O29" s="64"/>
      <c r="P29" s="63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 ht="12.75" customHeight="1">
      <c r="A30" s="30">
        <f t="shared" ref="A30:A41" si="3">A8</f>
        <v>2003</v>
      </c>
      <c r="B30" s="65"/>
      <c r="C30" s="65"/>
      <c r="D30" s="65"/>
      <c r="E30" s="65"/>
      <c r="F30" s="65"/>
      <c r="G30" s="65"/>
      <c r="H30" s="65"/>
      <c r="I30" s="65">
        <f t="shared" ref="I30:M30" si="1">J8/I8</f>
        <v>1.019549852</v>
      </c>
      <c r="J30" s="65">
        <f t="shared" si="1"/>
        <v>1.009591446</v>
      </c>
      <c r="K30" s="65">
        <f t="shared" si="1"/>
        <v>0.9810547499</v>
      </c>
      <c r="L30" s="65">
        <f t="shared" si="1"/>
        <v>1.019173645</v>
      </c>
      <c r="M30" s="65">
        <f t="shared" si="1"/>
        <v>0.9900990099</v>
      </c>
      <c r="N30" s="65"/>
      <c r="O30" s="65"/>
      <c r="P30" s="30">
        <f t="shared" ref="P30:P41" si="5">P8</f>
        <v>2003</v>
      </c>
      <c r="Q30" s="65"/>
      <c r="R30" s="65"/>
      <c r="S30" s="65"/>
      <c r="T30" s="65"/>
      <c r="U30" s="65"/>
      <c r="V30" s="65"/>
      <c r="W30" s="65"/>
      <c r="X30" s="65">
        <f t="shared" ref="X30:AB30" si="2">Y8/X8</f>
        <v>1.025476383</v>
      </c>
      <c r="Y30" s="65">
        <f t="shared" si="2"/>
        <v>1.022928595</v>
      </c>
      <c r="Z30" s="65">
        <f t="shared" si="2"/>
        <v>1</v>
      </c>
      <c r="AA30" s="65">
        <f t="shared" si="2"/>
        <v>1.021460457</v>
      </c>
      <c r="AB30" s="65">
        <f t="shared" si="2"/>
        <v>1.006998686</v>
      </c>
      <c r="AC30" s="65"/>
    </row>
    <row r="31" ht="12.75" customHeight="1">
      <c r="A31" s="30">
        <f t="shared" si="3"/>
        <v>2004</v>
      </c>
      <c r="B31" s="65"/>
      <c r="C31" s="65"/>
      <c r="D31" s="65"/>
      <c r="E31" s="65"/>
      <c r="F31" s="65"/>
      <c r="G31" s="65"/>
      <c r="H31" s="65">
        <f t="shared" ref="H31:L31" si="4">I9/H9</f>
        <v>0.993</v>
      </c>
      <c r="I31" s="65">
        <f t="shared" si="4"/>
        <v>1.047190288</v>
      </c>
      <c r="J31" s="65">
        <f t="shared" si="4"/>
        <v>1.009653461</v>
      </c>
      <c r="K31" s="65">
        <f t="shared" si="4"/>
        <v>1.025205298</v>
      </c>
      <c r="L31" s="65">
        <f t="shared" si="4"/>
        <v>0.9917442204</v>
      </c>
      <c r="M31" s="65"/>
      <c r="N31" s="65"/>
      <c r="O31" s="65"/>
      <c r="P31" s="30">
        <f t="shared" si="5"/>
        <v>2004</v>
      </c>
      <c r="Q31" s="65"/>
      <c r="R31" s="65"/>
      <c r="S31" s="65"/>
      <c r="T31" s="65"/>
      <c r="U31" s="65"/>
      <c r="V31" s="65"/>
      <c r="W31" s="65">
        <f t="shared" ref="W31:AA31" si="6">X9/W9</f>
        <v>1.015</v>
      </c>
      <c r="X31" s="65">
        <f t="shared" si="6"/>
        <v>1.03736268</v>
      </c>
      <c r="Y31" s="65">
        <f t="shared" si="6"/>
        <v>1.014294562</v>
      </c>
      <c r="Z31" s="65">
        <f t="shared" si="6"/>
        <v>1.035396822</v>
      </c>
      <c r="AA31" s="65">
        <f t="shared" si="6"/>
        <v>1.019384144</v>
      </c>
      <c r="AB31" s="65"/>
      <c r="AC31" s="65"/>
    </row>
    <row r="32" ht="12.75" customHeight="1">
      <c r="A32" s="30">
        <f t="shared" si="3"/>
        <v>2005</v>
      </c>
      <c r="B32" s="65"/>
      <c r="C32" s="65"/>
      <c r="D32" s="65"/>
      <c r="E32" s="65"/>
      <c r="F32" s="65"/>
      <c r="G32" s="65">
        <f t="shared" ref="G32:K32" si="7">H10/G10</f>
        <v>0.992</v>
      </c>
      <c r="H32" s="65">
        <f t="shared" si="7"/>
        <v>0.998</v>
      </c>
      <c r="I32" s="65">
        <f t="shared" si="7"/>
        <v>0.9934589574</v>
      </c>
      <c r="J32" s="65">
        <f t="shared" si="7"/>
        <v>1.020307383</v>
      </c>
      <c r="K32" s="65">
        <f t="shared" si="7"/>
        <v>0.9941082094</v>
      </c>
      <c r="L32" s="65"/>
      <c r="M32" s="65"/>
      <c r="N32" s="65"/>
      <c r="O32" s="65"/>
      <c r="P32" s="30">
        <f t="shared" si="5"/>
        <v>2005</v>
      </c>
      <c r="Q32" s="65"/>
      <c r="R32" s="65"/>
      <c r="S32" s="65"/>
      <c r="T32" s="65"/>
      <c r="U32" s="65"/>
      <c r="V32" s="65">
        <f t="shared" ref="V32:Z32" si="8">W10/V10</f>
        <v>1.03</v>
      </c>
      <c r="W32" s="65">
        <f t="shared" si="8"/>
        <v>1.022</v>
      </c>
      <c r="X32" s="65">
        <f t="shared" si="8"/>
        <v>1.003487461</v>
      </c>
      <c r="Y32" s="65">
        <f t="shared" si="8"/>
        <v>1.026335452</v>
      </c>
      <c r="Z32" s="65">
        <f t="shared" si="8"/>
        <v>1.01152064</v>
      </c>
      <c r="AA32" s="65"/>
      <c r="AB32" s="65"/>
      <c r="AC32" s="65"/>
    </row>
    <row r="33" ht="12.75" customHeight="1">
      <c r="A33" s="30">
        <f t="shared" si="3"/>
        <v>2006</v>
      </c>
      <c r="B33" s="65"/>
      <c r="C33" s="65"/>
      <c r="D33" s="65"/>
      <c r="E33" s="65"/>
      <c r="F33" s="65">
        <f t="shared" ref="F33:J33" si="9">G11/F11</f>
        <v>0.991</v>
      </c>
      <c r="G33" s="65">
        <f t="shared" si="9"/>
        <v>0.987</v>
      </c>
      <c r="H33" s="65">
        <f t="shared" si="9"/>
        <v>1.003</v>
      </c>
      <c r="I33" s="65">
        <f t="shared" si="9"/>
        <v>1.006458792</v>
      </c>
      <c r="J33" s="65">
        <f t="shared" si="9"/>
        <v>0.9899538246</v>
      </c>
      <c r="K33" s="65"/>
      <c r="L33" s="65"/>
      <c r="M33" s="65"/>
      <c r="N33" s="65"/>
      <c r="O33" s="65"/>
      <c r="P33" s="30">
        <f t="shared" si="5"/>
        <v>2006</v>
      </c>
      <c r="Q33" s="65"/>
      <c r="R33" s="65"/>
      <c r="S33" s="65"/>
      <c r="T33" s="65"/>
      <c r="U33" s="65">
        <f t="shared" ref="U33:Y33" si="10">V11/U11</f>
        <v>1.06</v>
      </c>
      <c r="V33" s="65">
        <f t="shared" si="10"/>
        <v>1.032</v>
      </c>
      <c r="W33" s="65">
        <f t="shared" si="10"/>
        <v>1.025</v>
      </c>
      <c r="X33" s="65">
        <f t="shared" si="10"/>
        <v>1.023568506</v>
      </c>
      <c r="Y33" s="65">
        <f t="shared" si="10"/>
        <v>1.010916296</v>
      </c>
      <c r="Z33" s="65"/>
      <c r="AA33" s="65"/>
      <c r="AB33" s="65"/>
      <c r="AC33" s="65"/>
    </row>
    <row r="34" ht="12.75" customHeight="1">
      <c r="A34" s="30">
        <f t="shared" si="3"/>
        <v>2007</v>
      </c>
      <c r="B34" s="65"/>
      <c r="C34" s="65"/>
      <c r="D34" s="65"/>
      <c r="E34" s="65">
        <f t="shared" ref="E34:I34" si="11">F12/E12</f>
        <v>1.001</v>
      </c>
      <c r="F34" s="65">
        <f t="shared" si="11"/>
        <v>0.995</v>
      </c>
      <c r="G34" s="65">
        <f t="shared" si="11"/>
        <v>1.003</v>
      </c>
      <c r="H34" s="65">
        <f t="shared" si="11"/>
        <v>0.99</v>
      </c>
      <c r="I34" s="65">
        <f t="shared" si="11"/>
        <v>0.9944847912</v>
      </c>
      <c r="J34" s="65"/>
      <c r="K34" s="65"/>
      <c r="L34" s="65"/>
      <c r="M34" s="65"/>
      <c r="N34" s="65"/>
      <c r="O34" s="65"/>
      <c r="P34" s="30">
        <f t="shared" si="5"/>
        <v>2007</v>
      </c>
      <c r="Q34" s="65"/>
      <c r="R34" s="65"/>
      <c r="S34" s="65"/>
      <c r="T34" s="65">
        <f t="shared" ref="T34:X34" si="12">U12/T12</f>
        <v>1.115</v>
      </c>
      <c r="U34" s="65">
        <f t="shared" si="12"/>
        <v>1.066</v>
      </c>
      <c r="V34" s="65">
        <f t="shared" si="12"/>
        <v>1.04</v>
      </c>
      <c r="W34" s="65">
        <f t="shared" si="12"/>
        <v>1.017</v>
      </c>
      <c r="X34" s="65">
        <f t="shared" si="12"/>
        <v>1.011721951</v>
      </c>
      <c r="Y34" s="65"/>
      <c r="Z34" s="65"/>
      <c r="AA34" s="65"/>
      <c r="AB34" s="65"/>
      <c r="AC34" s="65"/>
    </row>
    <row r="35" ht="12.75" customHeight="1">
      <c r="A35" s="30">
        <f t="shared" si="3"/>
        <v>2008</v>
      </c>
      <c r="B35" s="65"/>
      <c r="C35" s="65"/>
      <c r="D35" s="65">
        <f t="shared" ref="D35:H35" si="13">E13/D13</f>
        <v>1.029982891</v>
      </c>
      <c r="E35" s="65">
        <f t="shared" si="13"/>
        <v>1.004</v>
      </c>
      <c r="F35" s="65">
        <f t="shared" si="13"/>
        <v>0.993</v>
      </c>
      <c r="G35" s="65">
        <f t="shared" si="13"/>
        <v>0.998</v>
      </c>
      <c r="H35" s="65">
        <f t="shared" si="13"/>
        <v>0.99</v>
      </c>
      <c r="I35" s="65"/>
      <c r="J35" s="65"/>
      <c r="K35" s="65"/>
      <c r="L35" s="65"/>
      <c r="M35" s="65"/>
      <c r="N35" s="65"/>
      <c r="P35" s="30">
        <f t="shared" si="5"/>
        <v>2008</v>
      </c>
      <c r="Q35" s="65"/>
      <c r="R35" s="65"/>
      <c r="S35" s="65">
        <f t="shared" ref="S35:W35" si="14">T13/S13</f>
        <v>1.206124893</v>
      </c>
      <c r="T35" s="65">
        <f t="shared" si="14"/>
        <v>1.137</v>
      </c>
      <c r="U35" s="65">
        <f t="shared" si="14"/>
        <v>1.057</v>
      </c>
      <c r="V35" s="65">
        <f t="shared" si="14"/>
        <v>1.03</v>
      </c>
      <c r="W35" s="65">
        <f t="shared" si="14"/>
        <v>1.015</v>
      </c>
      <c r="X35" s="65"/>
      <c r="Y35" s="65"/>
      <c r="Z35" s="65"/>
      <c r="AA35" s="65"/>
      <c r="AB35" s="65"/>
      <c r="AC35" s="65"/>
    </row>
    <row r="36" ht="12.75" customHeight="1">
      <c r="A36" s="30">
        <f t="shared" si="3"/>
        <v>2009</v>
      </c>
      <c r="B36" s="65"/>
      <c r="C36" s="65">
        <f t="shared" ref="C36:G36" si="15">D14/C14</f>
        <v>1.073784565</v>
      </c>
      <c r="D36" s="65">
        <f t="shared" si="15"/>
        <v>1.033</v>
      </c>
      <c r="E36" s="65">
        <f t="shared" si="15"/>
        <v>0.996</v>
      </c>
      <c r="F36" s="65">
        <f t="shared" si="15"/>
        <v>0.995</v>
      </c>
      <c r="G36" s="65">
        <f t="shared" si="15"/>
        <v>0.996</v>
      </c>
      <c r="H36" s="65"/>
      <c r="I36" s="65"/>
      <c r="J36" s="65"/>
      <c r="K36" s="65"/>
      <c r="L36" s="65"/>
      <c r="M36" s="65"/>
      <c r="N36" s="65"/>
      <c r="P36" s="30">
        <f t="shared" si="5"/>
        <v>2009</v>
      </c>
      <c r="Q36" s="65"/>
      <c r="R36" s="65">
        <f t="shared" ref="R36:V36" si="16">S14/R14</f>
        <v>1.473400477</v>
      </c>
      <c r="S36" s="65">
        <f t="shared" si="16"/>
        <v>1.236</v>
      </c>
      <c r="T36" s="65">
        <f t="shared" si="16"/>
        <v>1.118</v>
      </c>
      <c r="U36" s="65">
        <f t="shared" si="16"/>
        <v>1.061</v>
      </c>
      <c r="V36" s="65">
        <f t="shared" si="16"/>
        <v>1.027</v>
      </c>
      <c r="W36" s="65"/>
      <c r="X36" s="65"/>
      <c r="Y36" s="65"/>
      <c r="Z36" s="65"/>
      <c r="AA36" s="65"/>
      <c r="AB36" s="65"/>
      <c r="AC36" s="65"/>
    </row>
    <row r="37" ht="12.75" customHeight="1">
      <c r="A37" s="30">
        <f t="shared" si="3"/>
        <v>2010</v>
      </c>
      <c r="B37" s="65">
        <f t="shared" ref="B37:F37" si="17">C15/B15</f>
        <v>1.149929707</v>
      </c>
      <c r="C37" s="65">
        <f t="shared" si="17"/>
        <v>1.093308271</v>
      </c>
      <c r="D37" s="65">
        <f t="shared" si="17"/>
        <v>1.035</v>
      </c>
      <c r="E37" s="65">
        <f t="shared" si="17"/>
        <v>0.996</v>
      </c>
      <c r="F37" s="65">
        <f t="shared" si="17"/>
        <v>1.002</v>
      </c>
      <c r="G37" s="65"/>
      <c r="H37" s="65"/>
      <c r="I37" s="65"/>
      <c r="J37" s="65"/>
      <c r="K37" s="65"/>
      <c r="L37" s="65"/>
      <c r="M37" s="65"/>
      <c r="N37" s="65"/>
      <c r="P37" s="30">
        <f t="shared" si="5"/>
        <v>2010</v>
      </c>
      <c r="Q37" s="65">
        <f t="shared" ref="Q37:U37" si="18">R15/Q15</f>
        <v>2.316423982</v>
      </c>
      <c r="R37" s="65">
        <f t="shared" si="18"/>
        <v>1.526691729</v>
      </c>
      <c r="S37" s="65">
        <f t="shared" si="18"/>
        <v>1.23</v>
      </c>
      <c r="T37" s="65">
        <f t="shared" si="18"/>
        <v>1.117</v>
      </c>
      <c r="U37" s="65">
        <f t="shared" si="18"/>
        <v>1.06</v>
      </c>
      <c r="V37" s="65"/>
      <c r="W37" s="65"/>
      <c r="X37" s="65"/>
      <c r="Y37" s="65"/>
      <c r="Z37" s="65"/>
      <c r="AA37" s="65"/>
      <c r="AB37" s="65"/>
      <c r="AC37" s="65"/>
    </row>
    <row r="38" ht="12.75" customHeight="1">
      <c r="A38" s="30">
        <f t="shared" si="3"/>
        <v>2011</v>
      </c>
      <c r="B38" s="65">
        <f t="shared" ref="B38:E38" si="19">C16/B16</f>
        <v>1.172693002</v>
      </c>
      <c r="C38" s="65">
        <f t="shared" si="19"/>
        <v>1.082036589</v>
      </c>
      <c r="D38" s="65">
        <f t="shared" si="19"/>
        <v>1.028</v>
      </c>
      <c r="E38" s="65">
        <f t="shared" si="19"/>
        <v>1.009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30">
        <f t="shared" si="5"/>
        <v>2011</v>
      </c>
      <c r="Q38" s="65">
        <f t="shared" ref="Q38:T38" si="20">R16/Q16</f>
        <v>2.344528771</v>
      </c>
      <c r="R38" s="65">
        <f t="shared" si="20"/>
        <v>1.502990626</v>
      </c>
      <c r="S38" s="65">
        <f t="shared" si="20"/>
        <v>1.236</v>
      </c>
      <c r="T38" s="65">
        <f t="shared" si="20"/>
        <v>1.115</v>
      </c>
      <c r="U38" s="65"/>
      <c r="V38" s="65"/>
      <c r="W38" s="65"/>
      <c r="X38" s="65"/>
      <c r="Y38" s="65"/>
      <c r="Z38" s="65"/>
      <c r="AA38" s="65"/>
      <c r="AB38" s="65"/>
      <c r="AC38" s="65"/>
    </row>
    <row r="39" ht="12.75" customHeight="1">
      <c r="A39" s="30">
        <f t="shared" si="3"/>
        <v>2012</v>
      </c>
      <c r="B39" s="65">
        <f t="shared" ref="B39:D39" si="21">C17/B17</f>
        <v>1.342624381</v>
      </c>
      <c r="C39" s="65">
        <f t="shared" si="21"/>
        <v>1.12294777</v>
      </c>
      <c r="D39" s="65">
        <f t="shared" si="21"/>
        <v>1.034468039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30">
        <f t="shared" si="5"/>
        <v>2012</v>
      </c>
      <c r="Q39" s="65">
        <f t="shared" ref="Q39:S39" si="22">R17/Q17</f>
        <v>2.969132001</v>
      </c>
      <c r="R39" s="65">
        <f t="shared" si="22"/>
        <v>1.524465081</v>
      </c>
      <c r="S39" s="65">
        <f t="shared" si="22"/>
        <v>1.236567525</v>
      </c>
      <c r="T39" s="65"/>
      <c r="U39" s="65"/>
      <c r="V39" s="65"/>
      <c r="W39" s="65"/>
      <c r="X39" s="65"/>
      <c r="Y39" s="65"/>
      <c r="Z39" s="65"/>
      <c r="AA39" s="65"/>
      <c r="AB39" s="65"/>
      <c r="AC39" s="65"/>
    </row>
    <row r="40" ht="12.75" customHeight="1">
      <c r="A40" s="30">
        <f t="shared" si="3"/>
        <v>2013</v>
      </c>
      <c r="B40" s="65">
        <f t="shared" ref="B40:C40" si="23">C18/B18</f>
        <v>1.189892916</v>
      </c>
      <c r="C40" s="65">
        <f t="shared" si="23"/>
        <v>1.130377634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30">
        <f t="shared" si="5"/>
        <v>2013</v>
      </c>
      <c r="Q40" s="65">
        <f t="shared" ref="Q40:R40" si="24">R18/Q18</f>
        <v>2.552298188</v>
      </c>
      <c r="R40" s="65">
        <f t="shared" si="24"/>
        <v>1.509137763</v>
      </c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</row>
    <row r="41" ht="12.75" customHeight="1">
      <c r="A41" s="30">
        <f t="shared" si="3"/>
        <v>2014</v>
      </c>
      <c r="B41" s="65">
        <f>C19/B19</f>
        <v>1.338014656</v>
      </c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30">
        <f t="shared" si="5"/>
        <v>2014</v>
      </c>
      <c r="Q41" s="65">
        <f>R19/Q19</f>
        <v>2.547288684</v>
      </c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</row>
    <row r="42" ht="12.75" customHeight="1">
      <c r="B42" s="30"/>
      <c r="C42" s="30"/>
      <c r="H42" s="30"/>
      <c r="I42" s="30"/>
      <c r="J42" s="30"/>
      <c r="K42" s="30"/>
      <c r="L42" s="30"/>
      <c r="M42" s="30"/>
      <c r="N42" s="30"/>
      <c r="O42" s="30"/>
      <c r="Q42" s="30"/>
      <c r="R42" s="30"/>
      <c r="W42" s="30"/>
      <c r="X42" s="30"/>
      <c r="Y42" s="30"/>
      <c r="Z42" s="30"/>
      <c r="AA42" s="30"/>
      <c r="AB42" s="30"/>
      <c r="AC42" s="30"/>
    </row>
    <row r="43" ht="12.75" customHeight="1">
      <c r="A43" s="68" t="s">
        <v>143</v>
      </c>
      <c r="P43" s="68" t="s">
        <v>143</v>
      </c>
    </row>
    <row r="44" ht="12.75" customHeight="1">
      <c r="A44" s="69" t="s">
        <v>110</v>
      </c>
      <c r="B44" s="65">
        <f>AVERAGE(B40:B41)</f>
        <v>1.263953786</v>
      </c>
      <c r="C44" s="65">
        <f>AVERAGE(C39:C40)</f>
        <v>1.126662702</v>
      </c>
      <c r="D44" s="65">
        <f>AVERAGE(D38:D39)</f>
        <v>1.031234019</v>
      </c>
      <c r="E44" s="65">
        <f>AVERAGE(E37:E38)</f>
        <v>1.0025</v>
      </c>
      <c r="F44" s="65">
        <f>AVERAGE(F36:F37)</f>
        <v>0.9985</v>
      </c>
      <c r="G44" s="65">
        <f>AVERAGE(G35:G36)</f>
        <v>0.997</v>
      </c>
      <c r="H44" s="65">
        <f t="shared" ref="H44:I44" si="25">AVERAGE(H34:H35)</f>
        <v>0.99</v>
      </c>
      <c r="I44" s="65">
        <f t="shared" si="25"/>
        <v>0.9944847912</v>
      </c>
      <c r="J44" s="65">
        <f>AVERAGE(J32:J33)</f>
        <v>1.005130604</v>
      </c>
      <c r="K44" s="65">
        <f>AVERAGE(K31:K32)</f>
        <v>1.009656754</v>
      </c>
      <c r="L44" s="65">
        <f>AVERAGE(L30:L31)</f>
        <v>1.005458933</v>
      </c>
      <c r="M44" s="70">
        <f>M$48</f>
        <v>0.9900990099</v>
      </c>
      <c r="N44" s="70"/>
      <c r="O44" s="65"/>
      <c r="P44" s="69" t="s">
        <v>110</v>
      </c>
      <c r="Q44" s="65">
        <f>AVERAGE(Q40:Q41)</f>
        <v>2.549793436</v>
      </c>
      <c r="R44" s="65">
        <f>AVERAGE(R39:R40)</f>
        <v>1.516801422</v>
      </c>
      <c r="S44" s="65">
        <f>AVERAGE(S38:S39)</f>
        <v>1.236283762</v>
      </c>
      <c r="T44" s="65">
        <f>AVERAGE(T37:T38)</f>
        <v>1.116</v>
      </c>
      <c r="U44" s="65">
        <f>AVERAGE(U36:U37)</f>
        <v>1.0605</v>
      </c>
      <c r="V44" s="65">
        <f>AVERAGE(V35:V36)</f>
        <v>1.0285</v>
      </c>
      <c r="W44" s="65">
        <f t="shared" ref="W44:X44" si="26">AVERAGE(W34:W35)</f>
        <v>1.016</v>
      </c>
      <c r="X44" s="65">
        <f t="shared" si="26"/>
        <v>1.011721951</v>
      </c>
      <c r="Y44" s="65">
        <f>AVERAGE(Y32:Y33)</f>
        <v>1.018625874</v>
      </c>
      <c r="Z44" s="65">
        <f>AVERAGE(Z31:Z32)</f>
        <v>1.023458731</v>
      </c>
      <c r="AA44" s="65">
        <f>AVERAGE(AA30:AA31)</f>
        <v>1.020422301</v>
      </c>
      <c r="AB44" s="70">
        <f>AB$48</f>
        <v>1.006998686</v>
      </c>
      <c r="AC44" s="70"/>
    </row>
    <row r="45" ht="12.75" customHeight="1">
      <c r="A45" s="69" t="s">
        <v>111</v>
      </c>
      <c r="B45" s="65">
        <f>AVERAGE(B39:B41)</f>
        <v>1.290177318</v>
      </c>
      <c r="C45" s="65">
        <f>AVERAGE(C38:C40)</f>
        <v>1.111787331</v>
      </c>
      <c r="D45" s="65">
        <f>AVERAGE(D37:D39)</f>
        <v>1.032489346</v>
      </c>
      <c r="E45" s="65">
        <f>AVERAGE(E36:E38)</f>
        <v>1.000333333</v>
      </c>
      <c r="F45" s="65">
        <f>AVERAGE(F35:F37)</f>
        <v>0.9966666667</v>
      </c>
      <c r="G45" s="65">
        <f>AVERAGE(G34:G36)</f>
        <v>0.999</v>
      </c>
      <c r="H45" s="65">
        <f t="shared" ref="H45:I45" si="27">AVERAGE(H33:H35)</f>
        <v>0.9943333333</v>
      </c>
      <c r="I45" s="65">
        <f t="shared" si="27"/>
        <v>1.000471792</v>
      </c>
      <c r="J45" s="65">
        <f>AVERAGE(J31:J33)</f>
        <v>1.006638223</v>
      </c>
      <c r="K45" s="65">
        <f>AVERAGE(K30:K32)</f>
        <v>1.000122752</v>
      </c>
      <c r="L45" s="70">
        <f t="shared" ref="L45:M45" si="28">L$48</f>
        <v>1.005458933</v>
      </c>
      <c r="M45" s="70">
        <f t="shared" si="28"/>
        <v>0.9900990099</v>
      </c>
      <c r="N45" s="70"/>
      <c r="O45" s="65"/>
      <c r="P45" s="69" t="s">
        <v>111</v>
      </c>
      <c r="Q45" s="65">
        <f>AVERAGE(Q39:Q41)</f>
        <v>2.689572958</v>
      </c>
      <c r="R45" s="65">
        <f>AVERAGE(R38:R40)</f>
        <v>1.512197823</v>
      </c>
      <c r="S45" s="65">
        <f>AVERAGE(S37:S39)</f>
        <v>1.234189175</v>
      </c>
      <c r="T45" s="65">
        <f>AVERAGE(T36:T38)</f>
        <v>1.116666667</v>
      </c>
      <c r="U45" s="65">
        <f>AVERAGE(U35:U37)</f>
        <v>1.059333333</v>
      </c>
      <c r="V45" s="65">
        <f>AVERAGE(V34:V36)</f>
        <v>1.032333333</v>
      </c>
      <c r="W45" s="65">
        <f t="shared" ref="W45:X45" si="29">AVERAGE(W33:W35)</f>
        <v>1.019</v>
      </c>
      <c r="X45" s="65">
        <f t="shared" si="29"/>
        <v>1.017645229</v>
      </c>
      <c r="Y45" s="65">
        <f>AVERAGE(Y31:Y33)</f>
        <v>1.017182104</v>
      </c>
      <c r="Z45" s="65">
        <f>AVERAGE(Z30:Z32)</f>
        <v>1.015639154</v>
      </c>
      <c r="AA45" s="70">
        <f t="shared" ref="AA45:AB45" si="30">AA$48</f>
        <v>1.020422301</v>
      </c>
      <c r="AB45" s="70">
        <f t="shared" si="30"/>
        <v>1.006998686</v>
      </c>
      <c r="AC45" s="70"/>
    </row>
    <row r="46" ht="12.75" customHeight="1">
      <c r="A46" s="69" t="s">
        <v>112</v>
      </c>
      <c r="B46" s="65">
        <f>AVERAGE(B38:B41)</f>
        <v>1.260806239</v>
      </c>
      <c r="C46" s="65">
        <f>AVERAGE(C37:C40)</f>
        <v>1.107167566</v>
      </c>
      <c r="D46" s="65">
        <f>AVERAGE(D36:D39)</f>
        <v>1.03261701</v>
      </c>
      <c r="E46" s="65">
        <f>AVERAGE(E35:E38)</f>
        <v>1.00125</v>
      </c>
      <c r="F46" s="65">
        <f>AVERAGE(F34:F37)</f>
        <v>0.99625</v>
      </c>
      <c r="G46" s="65">
        <f>AVERAGE(G33:G36)</f>
        <v>0.996</v>
      </c>
      <c r="H46" s="65">
        <f t="shared" ref="H46:I46" si="31">AVERAGE(H32:H35)</f>
        <v>0.99525</v>
      </c>
      <c r="I46" s="65">
        <f t="shared" si="31"/>
        <v>0.9981341802</v>
      </c>
      <c r="J46" s="65">
        <f>AVERAGE(J30:J33)</f>
        <v>1.007376529</v>
      </c>
      <c r="K46" s="70">
        <f t="shared" ref="K46:M46" si="32">K$48</f>
        <v>1.000122752</v>
      </c>
      <c r="L46" s="70">
        <f t="shared" si="32"/>
        <v>1.005458933</v>
      </c>
      <c r="M46" s="70">
        <f t="shared" si="32"/>
        <v>0.9900990099</v>
      </c>
      <c r="N46" s="70"/>
      <c r="O46" s="65"/>
      <c r="P46" s="69" t="s">
        <v>112</v>
      </c>
      <c r="Q46" s="65">
        <f>AVERAGE(Q38:Q41)</f>
        <v>2.603311911</v>
      </c>
      <c r="R46" s="65">
        <f>AVERAGE(R37:R40)</f>
        <v>1.5158213</v>
      </c>
      <c r="S46" s="65">
        <f>AVERAGE(S36:S39)</f>
        <v>1.234641881</v>
      </c>
      <c r="T46" s="65">
        <f>AVERAGE(T35:T38)</f>
        <v>1.12175</v>
      </c>
      <c r="U46" s="65">
        <f>AVERAGE(U34:U37)</f>
        <v>1.061</v>
      </c>
      <c r="V46" s="65">
        <f>AVERAGE(V33:V36)</f>
        <v>1.03225</v>
      </c>
      <c r="W46" s="65">
        <f t="shared" ref="W46:X46" si="33">AVERAGE(W32:W35)</f>
        <v>1.01975</v>
      </c>
      <c r="X46" s="65">
        <f t="shared" si="33"/>
        <v>1.012925973</v>
      </c>
      <c r="Y46" s="65">
        <f>AVERAGE(Y30:Y33)</f>
        <v>1.018618727</v>
      </c>
      <c r="Z46" s="70">
        <f t="shared" ref="Z46:AB46" si="34">Z$48</f>
        <v>1.015639154</v>
      </c>
      <c r="AA46" s="70">
        <f t="shared" si="34"/>
        <v>1.020422301</v>
      </c>
      <c r="AB46" s="70">
        <f t="shared" si="34"/>
        <v>1.006998686</v>
      </c>
      <c r="AC46" s="70"/>
    </row>
    <row r="47" ht="12.75" customHeight="1">
      <c r="A47" s="69" t="s">
        <v>113</v>
      </c>
      <c r="B47" s="65">
        <f>AVERAGE(B37:B41)</f>
        <v>1.238630932</v>
      </c>
      <c r="C47" s="65">
        <f>AVERAGE(C36:C40)</f>
        <v>1.100490966</v>
      </c>
      <c r="D47" s="65">
        <f>AVERAGE(D35:D39)</f>
        <v>1.032090186</v>
      </c>
      <c r="E47" s="65">
        <f>AVERAGE(E34:E38)</f>
        <v>1.0012</v>
      </c>
      <c r="F47" s="65">
        <f>AVERAGE(F33:F37)</f>
        <v>0.9952</v>
      </c>
      <c r="G47" s="65">
        <f>AVERAGE(G32:G36)</f>
        <v>0.9952</v>
      </c>
      <c r="H47" s="65">
        <f>AVERAGE(H31:H35)</f>
        <v>0.9948</v>
      </c>
      <c r="I47" s="65">
        <f>AVERAGE(I30:I34)</f>
        <v>1.012228536</v>
      </c>
      <c r="J47" s="70">
        <f t="shared" ref="J47:M47" si="35">J$48</f>
        <v>1.007376529</v>
      </c>
      <c r="K47" s="70">
        <f t="shared" si="35"/>
        <v>1.000122752</v>
      </c>
      <c r="L47" s="70">
        <f t="shared" si="35"/>
        <v>1.005458933</v>
      </c>
      <c r="M47" s="70">
        <f t="shared" si="35"/>
        <v>0.9900990099</v>
      </c>
      <c r="N47" s="70"/>
      <c r="O47" s="65"/>
      <c r="P47" s="69" t="s">
        <v>113</v>
      </c>
      <c r="Q47" s="65">
        <f>AVERAGE(Q37:Q41)</f>
        <v>2.545934325</v>
      </c>
      <c r="R47" s="65">
        <f>AVERAGE(R36:R40)</f>
        <v>1.507337135</v>
      </c>
      <c r="S47" s="65">
        <f>AVERAGE(S35:S39)</f>
        <v>1.228938484</v>
      </c>
      <c r="T47" s="65">
        <f>AVERAGE(T34:T38)</f>
        <v>1.1204</v>
      </c>
      <c r="U47" s="65">
        <f>AVERAGE(U33:U37)</f>
        <v>1.0608</v>
      </c>
      <c r="V47" s="65">
        <f>AVERAGE(V32:V36)</f>
        <v>1.0318</v>
      </c>
      <c r="W47" s="65">
        <f>AVERAGE(W31:W35)</f>
        <v>1.0188</v>
      </c>
      <c r="X47" s="65">
        <f>AVERAGE(X30:X34)</f>
        <v>1.020323396</v>
      </c>
      <c r="Y47" s="70">
        <f t="shared" ref="Y47:AB47" si="36">Y$48</f>
        <v>1.018618727</v>
      </c>
      <c r="Z47" s="70">
        <f t="shared" si="36"/>
        <v>1.015639154</v>
      </c>
      <c r="AA47" s="70">
        <f t="shared" si="36"/>
        <v>1.020422301</v>
      </c>
      <c r="AB47" s="70">
        <f t="shared" si="36"/>
        <v>1.006998686</v>
      </c>
      <c r="AC47" s="70"/>
    </row>
    <row r="48" ht="12.75" customHeight="1">
      <c r="A48" s="8" t="s">
        <v>114</v>
      </c>
      <c r="B48" s="65">
        <f t="shared" ref="B48:M48" si="37">AVERAGE(B30:B42)</f>
        <v>1.238630932</v>
      </c>
      <c r="C48" s="65">
        <f t="shared" si="37"/>
        <v>1.100490966</v>
      </c>
      <c r="D48" s="65">
        <f t="shared" si="37"/>
        <v>1.032090186</v>
      </c>
      <c r="E48" s="65">
        <f t="shared" si="37"/>
        <v>1.0012</v>
      </c>
      <c r="F48" s="65">
        <f t="shared" si="37"/>
        <v>0.9952</v>
      </c>
      <c r="G48" s="65">
        <f t="shared" si="37"/>
        <v>0.9952</v>
      </c>
      <c r="H48" s="65">
        <f t="shared" si="37"/>
        <v>0.9948</v>
      </c>
      <c r="I48" s="65">
        <f t="shared" si="37"/>
        <v>1.012228536</v>
      </c>
      <c r="J48" s="65">
        <f t="shared" si="37"/>
        <v>1.007376529</v>
      </c>
      <c r="K48" s="65">
        <f t="shared" si="37"/>
        <v>1.000122752</v>
      </c>
      <c r="L48" s="65">
        <f t="shared" si="37"/>
        <v>1.005458933</v>
      </c>
      <c r="M48" s="65">
        <f t="shared" si="37"/>
        <v>0.9900990099</v>
      </c>
      <c r="N48" s="70"/>
      <c r="O48" s="65"/>
      <c r="P48" s="8" t="s">
        <v>114</v>
      </c>
      <c r="Q48" s="65">
        <f t="shared" ref="Q48:AB48" si="38">AVERAGE(Q30:Q42)</f>
        <v>2.545934325</v>
      </c>
      <c r="R48" s="65">
        <f t="shared" si="38"/>
        <v>1.507337135</v>
      </c>
      <c r="S48" s="65">
        <f t="shared" si="38"/>
        <v>1.228938484</v>
      </c>
      <c r="T48" s="65">
        <f t="shared" si="38"/>
        <v>1.1204</v>
      </c>
      <c r="U48" s="65">
        <f t="shared" si="38"/>
        <v>1.0608</v>
      </c>
      <c r="V48" s="65">
        <f t="shared" si="38"/>
        <v>1.0318</v>
      </c>
      <c r="W48" s="65">
        <f t="shared" si="38"/>
        <v>1.0188</v>
      </c>
      <c r="X48" s="65">
        <f t="shared" si="38"/>
        <v>1.020323396</v>
      </c>
      <c r="Y48" s="65">
        <f t="shared" si="38"/>
        <v>1.018618727</v>
      </c>
      <c r="Z48" s="65">
        <f t="shared" si="38"/>
        <v>1.015639154</v>
      </c>
      <c r="AA48" s="65">
        <f t="shared" si="38"/>
        <v>1.020422301</v>
      </c>
      <c r="AB48" s="65">
        <f t="shared" si="38"/>
        <v>1.006998686</v>
      </c>
      <c r="AC48" s="70"/>
    </row>
    <row r="49" ht="12.75" customHeight="1">
      <c r="A49" s="71" t="s">
        <v>76</v>
      </c>
      <c r="B49" s="72">
        <v>1.0</v>
      </c>
      <c r="C49" s="72">
        <v>1.0</v>
      </c>
      <c r="D49" s="72">
        <v>1.0</v>
      </c>
      <c r="E49" s="72">
        <v>1.0</v>
      </c>
      <c r="F49" s="72">
        <v>1.0</v>
      </c>
      <c r="G49" s="72">
        <v>1.0</v>
      </c>
      <c r="H49" s="72">
        <v>1.0</v>
      </c>
      <c r="I49" s="72">
        <v>1.0</v>
      </c>
      <c r="J49" s="72">
        <v>1.0</v>
      </c>
      <c r="K49" s="72">
        <v>1.0</v>
      </c>
      <c r="L49" s="72">
        <v>1.0</v>
      </c>
      <c r="M49" s="72">
        <v>1.0</v>
      </c>
      <c r="N49" s="73">
        <v>1.0</v>
      </c>
      <c r="O49" s="65"/>
      <c r="P49" s="71" t="s">
        <v>76</v>
      </c>
      <c r="Q49" s="72">
        <v>1.0</v>
      </c>
      <c r="R49" s="72">
        <v>1.0</v>
      </c>
      <c r="S49" s="72">
        <v>1.0</v>
      </c>
      <c r="T49" s="72">
        <v>1.0</v>
      </c>
      <c r="U49" s="72">
        <v>1.0</v>
      </c>
      <c r="V49" s="72">
        <v>1.0</v>
      </c>
      <c r="W49" s="72">
        <v>1.0</v>
      </c>
      <c r="X49" s="72">
        <v>1.0</v>
      </c>
      <c r="Y49" s="72">
        <v>1.0</v>
      </c>
      <c r="Z49" s="72">
        <v>1.0</v>
      </c>
      <c r="AA49" s="72">
        <v>1.0</v>
      </c>
      <c r="AB49" s="72">
        <v>1.0</v>
      </c>
      <c r="AC49" s="73">
        <v>1.0</v>
      </c>
    </row>
    <row r="50" ht="12.75" customHeight="1">
      <c r="B50" s="65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Q50" s="65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ht="12.75" customHeight="1">
      <c r="A51" s="74" t="s">
        <v>115</v>
      </c>
      <c r="B51" s="65" t="s">
        <v>101</v>
      </c>
      <c r="C51" s="65" t="s">
        <v>101</v>
      </c>
      <c r="D51" s="65" t="s">
        <v>101</v>
      </c>
      <c r="E51" s="65" t="s">
        <v>101</v>
      </c>
      <c r="F51" s="65" t="s">
        <v>101</v>
      </c>
      <c r="G51" s="65" t="s">
        <v>101</v>
      </c>
      <c r="H51" s="65" t="s">
        <v>101</v>
      </c>
      <c r="I51" s="65" t="s">
        <v>101</v>
      </c>
      <c r="J51" s="65" t="s">
        <v>101</v>
      </c>
      <c r="K51" s="65" t="s">
        <v>101</v>
      </c>
      <c r="L51" s="65" t="s">
        <v>101</v>
      </c>
      <c r="M51" s="65" t="s">
        <v>101</v>
      </c>
      <c r="N51" s="65" t="s">
        <v>101</v>
      </c>
      <c r="O51" s="65"/>
      <c r="P51" s="74" t="s">
        <v>115</v>
      </c>
      <c r="Q51" s="65" t="s">
        <v>101</v>
      </c>
      <c r="R51" s="65" t="s">
        <v>101</v>
      </c>
      <c r="S51" s="65" t="s">
        <v>101</v>
      </c>
      <c r="T51" s="65" t="s">
        <v>101</v>
      </c>
      <c r="U51" s="65" t="s">
        <v>101</v>
      </c>
      <c r="V51" s="65" t="s">
        <v>101</v>
      </c>
      <c r="W51" s="65" t="s">
        <v>101</v>
      </c>
      <c r="X51" s="65" t="s">
        <v>101</v>
      </c>
      <c r="Y51" s="65" t="s">
        <v>101</v>
      </c>
      <c r="Z51" s="65" t="s">
        <v>101</v>
      </c>
      <c r="AA51" s="65" t="s">
        <v>101</v>
      </c>
      <c r="AB51" s="65" t="s">
        <v>101</v>
      </c>
      <c r="AC51" s="65" t="s">
        <v>101</v>
      </c>
    </row>
    <row r="52" ht="12.75" customHeight="1">
      <c r="A52" s="69" t="str">
        <f t="shared" ref="A52:A56" si="41">A44</f>
        <v>2 Year</v>
      </c>
      <c r="B52" s="65">
        <f t="shared" ref="B52:M52" si="39">C52*B44</f>
        <v>1.457748177</v>
      </c>
      <c r="C52" s="65">
        <f t="shared" si="39"/>
        <v>1.153323954</v>
      </c>
      <c r="D52" s="65">
        <f t="shared" si="39"/>
        <v>1.023663916</v>
      </c>
      <c r="E52" s="65">
        <f t="shared" si="39"/>
        <v>0.9926591803</v>
      </c>
      <c r="F52" s="65">
        <f t="shared" si="39"/>
        <v>0.990183721</v>
      </c>
      <c r="G52" s="65">
        <f t="shared" si="39"/>
        <v>0.9916712279</v>
      </c>
      <c r="H52" s="65">
        <f t="shared" si="39"/>
        <v>0.9946551934</v>
      </c>
      <c r="I52" s="65">
        <f t="shared" si="39"/>
        <v>1.004702216</v>
      </c>
      <c r="J52" s="65">
        <f t="shared" si="39"/>
        <v>1.010274088</v>
      </c>
      <c r="K52" s="65">
        <f t="shared" si="39"/>
        <v>1.00511723</v>
      </c>
      <c r="L52" s="65">
        <f t="shared" si="39"/>
        <v>0.9955038939</v>
      </c>
      <c r="M52" s="65">
        <f t="shared" si="39"/>
        <v>0.9900990099</v>
      </c>
      <c r="N52" s="75">
        <v>1.0</v>
      </c>
      <c r="O52" s="65"/>
      <c r="P52" s="69" t="str">
        <f t="shared" ref="P52:P56" si="43">P44</f>
        <v>2 Year</v>
      </c>
      <c r="Q52" s="65">
        <f t="shared" ref="Q52:AB52" si="40">R52*Q44</f>
        <v>6.408845759</v>
      </c>
      <c r="R52" s="65">
        <f t="shared" si="40"/>
        <v>2.513476452</v>
      </c>
      <c r="S52" s="65">
        <f t="shared" si="40"/>
        <v>1.657089989</v>
      </c>
      <c r="T52" s="65">
        <f t="shared" si="40"/>
        <v>1.340379967</v>
      </c>
      <c r="U52" s="65">
        <f t="shared" si="40"/>
        <v>1.201057319</v>
      </c>
      <c r="V52" s="65">
        <f t="shared" si="40"/>
        <v>1.132538726</v>
      </c>
      <c r="W52" s="65">
        <f t="shared" si="40"/>
        <v>1.101155786</v>
      </c>
      <c r="X52" s="65">
        <f t="shared" si="40"/>
        <v>1.08381475</v>
      </c>
      <c r="Y52" s="65">
        <f t="shared" si="40"/>
        <v>1.071257521</v>
      </c>
      <c r="Z52" s="65">
        <f t="shared" si="40"/>
        <v>1.051669262</v>
      </c>
      <c r="AA52" s="65">
        <f t="shared" si="40"/>
        <v>1.027563916</v>
      </c>
      <c r="AB52" s="65">
        <f t="shared" si="40"/>
        <v>1.006998686</v>
      </c>
      <c r="AC52" s="75">
        <v>1.0</v>
      </c>
    </row>
    <row r="53" ht="12.75" customHeight="1">
      <c r="A53" s="69" t="str">
        <f t="shared" si="41"/>
        <v>3 Year</v>
      </c>
      <c r="B53" s="65">
        <f t="shared" ref="B53:M53" si="42">C53*B45</f>
        <v>1.470697652</v>
      </c>
      <c r="C53" s="65">
        <f t="shared" si="42"/>
        <v>1.139919011</v>
      </c>
      <c r="D53" s="65">
        <f t="shared" si="42"/>
        <v>1.025303113</v>
      </c>
      <c r="E53" s="65">
        <f t="shared" si="42"/>
        <v>0.9930398957</v>
      </c>
      <c r="F53" s="65">
        <f t="shared" si="42"/>
        <v>0.9927089927</v>
      </c>
      <c r="G53" s="65">
        <f t="shared" si="42"/>
        <v>0.9960290897</v>
      </c>
      <c r="H53" s="65">
        <f t="shared" si="42"/>
        <v>0.9970261158</v>
      </c>
      <c r="I53" s="65">
        <f t="shared" si="42"/>
        <v>1.002708129</v>
      </c>
      <c r="J53" s="65">
        <f t="shared" si="42"/>
        <v>1.002235282</v>
      </c>
      <c r="K53" s="65">
        <f t="shared" si="42"/>
        <v>0.9956260944</v>
      </c>
      <c r="L53" s="65">
        <f t="shared" si="42"/>
        <v>0.9955038939</v>
      </c>
      <c r="M53" s="65">
        <f t="shared" si="42"/>
        <v>0.9900990099</v>
      </c>
      <c r="N53" s="75">
        <v>1.0</v>
      </c>
      <c r="O53" s="65"/>
      <c r="P53" s="69" t="str">
        <f t="shared" si="43"/>
        <v>3 Year</v>
      </c>
      <c r="Q53" s="65">
        <f t="shared" ref="Q53:AB53" si="44">R53*Q45</f>
        <v>6.747880573</v>
      </c>
      <c r="R53" s="65">
        <f t="shared" si="44"/>
        <v>2.508904082</v>
      </c>
      <c r="S53" s="65">
        <f t="shared" si="44"/>
        <v>1.659111026</v>
      </c>
      <c r="T53" s="65">
        <f t="shared" si="44"/>
        <v>1.344292318</v>
      </c>
      <c r="U53" s="65">
        <f t="shared" si="44"/>
        <v>1.203843866</v>
      </c>
      <c r="V53" s="65">
        <f t="shared" si="44"/>
        <v>1.136416488</v>
      </c>
      <c r="W53" s="65">
        <f t="shared" si="44"/>
        <v>1.100823205</v>
      </c>
      <c r="X53" s="65">
        <f t="shared" si="44"/>
        <v>1.080297551</v>
      </c>
      <c r="Y53" s="65">
        <f t="shared" si="44"/>
        <v>1.061565976</v>
      </c>
      <c r="Z53" s="65">
        <f t="shared" si="44"/>
        <v>1.043634146</v>
      </c>
      <c r="AA53" s="65">
        <f t="shared" si="44"/>
        <v>1.027563916</v>
      </c>
      <c r="AB53" s="65">
        <f t="shared" si="44"/>
        <v>1.006998686</v>
      </c>
      <c r="AC53" s="75">
        <v>1.0</v>
      </c>
    </row>
    <row r="54" ht="12.75" customHeight="1">
      <c r="A54" s="69" t="str">
        <f t="shared" si="41"/>
        <v>4 Year</v>
      </c>
      <c r="B54" s="65">
        <f t="shared" ref="B54:M54" si="45">C54*B46</f>
        <v>1.426856812</v>
      </c>
      <c r="C54" s="65">
        <f t="shared" si="45"/>
        <v>1.131701897</v>
      </c>
      <c r="D54" s="65">
        <f t="shared" si="45"/>
        <v>1.022159546</v>
      </c>
      <c r="E54" s="65">
        <f t="shared" si="45"/>
        <v>0.989872854</v>
      </c>
      <c r="F54" s="65">
        <f t="shared" si="45"/>
        <v>0.9886370577</v>
      </c>
      <c r="G54" s="65">
        <f t="shared" si="45"/>
        <v>0.9923584017</v>
      </c>
      <c r="H54" s="65">
        <f t="shared" si="45"/>
        <v>0.9963437768</v>
      </c>
      <c r="I54" s="65">
        <f t="shared" si="45"/>
        <v>1.001098997</v>
      </c>
      <c r="J54" s="65">
        <f t="shared" si="45"/>
        <v>1.002970359</v>
      </c>
      <c r="K54" s="65">
        <f t="shared" si="45"/>
        <v>0.9956260944</v>
      </c>
      <c r="L54" s="65">
        <f t="shared" si="45"/>
        <v>0.9955038939</v>
      </c>
      <c r="M54" s="65">
        <f t="shared" si="45"/>
        <v>0.9900990099</v>
      </c>
      <c r="N54" s="75">
        <v>1.0</v>
      </c>
      <c r="O54" s="65"/>
      <c r="P54" s="69" t="str">
        <f t="shared" si="43"/>
        <v>4 Year</v>
      </c>
      <c r="Q54" s="65">
        <f t="shared" ref="Q54:AB54" si="46">R54*Q46</f>
        <v>6.572686633</v>
      </c>
      <c r="R54" s="65">
        <f t="shared" si="46"/>
        <v>2.524740353</v>
      </c>
      <c r="S54" s="65">
        <f t="shared" si="46"/>
        <v>1.665592345</v>
      </c>
      <c r="T54" s="65">
        <f t="shared" si="46"/>
        <v>1.349048959</v>
      </c>
      <c r="U54" s="65">
        <f t="shared" si="46"/>
        <v>1.202628892</v>
      </c>
      <c r="V54" s="65">
        <f t="shared" si="46"/>
        <v>1.133486232</v>
      </c>
      <c r="W54" s="65">
        <f t="shared" si="46"/>
        <v>1.098073365</v>
      </c>
      <c r="X54" s="65">
        <f t="shared" si="46"/>
        <v>1.076806438</v>
      </c>
      <c r="Y54" s="65">
        <f t="shared" si="46"/>
        <v>1.063065285</v>
      </c>
      <c r="Z54" s="65">
        <f t="shared" si="46"/>
        <v>1.043634146</v>
      </c>
      <c r="AA54" s="65">
        <f t="shared" si="46"/>
        <v>1.027563916</v>
      </c>
      <c r="AB54" s="65">
        <f t="shared" si="46"/>
        <v>1.006998686</v>
      </c>
      <c r="AC54" s="75">
        <v>1.0</v>
      </c>
    </row>
    <row r="55" ht="12.75" customHeight="1">
      <c r="A55" s="69" t="str">
        <f t="shared" si="41"/>
        <v>5 Year</v>
      </c>
      <c r="B55" s="65">
        <f t="shared" ref="B55:M55" si="47">C55*B47</f>
        <v>1.408932148</v>
      </c>
      <c r="C55" s="65">
        <f t="shared" si="47"/>
        <v>1.137491492</v>
      </c>
      <c r="D55" s="65">
        <f t="shared" si="47"/>
        <v>1.033621836</v>
      </c>
      <c r="E55" s="65">
        <f t="shared" si="47"/>
        <v>1.001484027</v>
      </c>
      <c r="F55" s="65">
        <f t="shared" si="47"/>
        <v>1.000283687</v>
      </c>
      <c r="G55" s="65">
        <f t="shared" si="47"/>
        <v>1.005108206</v>
      </c>
      <c r="H55" s="65">
        <f t="shared" si="47"/>
        <v>1.009955995</v>
      </c>
      <c r="I55" s="65">
        <f t="shared" si="47"/>
        <v>1.015235218</v>
      </c>
      <c r="J55" s="65">
        <f t="shared" si="47"/>
        <v>1.002970359</v>
      </c>
      <c r="K55" s="65">
        <f t="shared" si="47"/>
        <v>0.9956260944</v>
      </c>
      <c r="L55" s="65">
        <f t="shared" si="47"/>
        <v>0.9955038939</v>
      </c>
      <c r="M55" s="65">
        <f t="shared" si="47"/>
        <v>0.9900990099</v>
      </c>
      <c r="N55" s="75">
        <v>1.0</v>
      </c>
      <c r="O55" s="65"/>
      <c r="P55" s="69" t="str">
        <f t="shared" si="43"/>
        <v>5 Year</v>
      </c>
      <c r="Q55" s="65">
        <f t="shared" ref="Q55:AB55" si="48">R55*Q47</f>
        <v>6.391114407</v>
      </c>
      <c r="R55" s="65">
        <f t="shared" si="48"/>
        <v>2.510321788</v>
      </c>
      <c r="S55" s="65">
        <f t="shared" si="48"/>
        <v>1.665401674</v>
      </c>
      <c r="T55" s="65">
        <f t="shared" si="48"/>
        <v>1.355154628</v>
      </c>
      <c r="U55" s="65">
        <f t="shared" si="48"/>
        <v>1.209527515</v>
      </c>
      <c r="V55" s="65">
        <f t="shared" si="48"/>
        <v>1.140203163</v>
      </c>
      <c r="W55" s="65">
        <f t="shared" si="48"/>
        <v>1.105062185</v>
      </c>
      <c r="X55" s="65">
        <f t="shared" si="48"/>
        <v>1.084670382</v>
      </c>
      <c r="Y55" s="65">
        <f t="shared" si="48"/>
        <v>1.063065285</v>
      </c>
      <c r="Z55" s="65">
        <f t="shared" si="48"/>
        <v>1.043634146</v>
      </c>
      <c r="AA55" s="65">
        <f t="shared" si="48"/>
        <v>1.027563916</v>
      </c>
      <c r="AB55" s="65">
        <f t="shared" si="48"/>
        <v>1.006998686</v>
      </c>
      <c r="AC55" s="75">
        <v>1.0</v>
      </c>
    </row>
    <row r="56" ht="12.75" customHeight="1">
      <c r="A56" s="69" t="str">
        <f t="shared" si="41"/>
        <v>All Year</v>
      </c>
      <c r="B56" s="65">
        <f t="shared" ref="B56:M56" si="49">C56*B48</f>
        <v>1.408932148</v>
      </c>
      <c r="C56" s="65">
        <f t="shared" si="49"/>
        <v>1.137491492</v>
      </c>
      <c r="D56" s="65">
        <f t="shared" si="49"/>
        <v>1.033621836</v>
      </c>
      <c r="E56" s="65">
        <f t="shared" si="49"/>
        <v>1.001484027</v>
      </c>
      <c r="F56" s="65">
        <f t="shared" si="49"/>
        <v>1.000283687</v>
      </c>
      <c r="G56" s="65">
        <f t="shared" si="49"/>
        <v>1.005108206</v>
      </c>
      <c r="H56" s="65">
        <f t="shared" si="49"/>
        <v>1.009955995</v>
      </c>
      <c r="I56" s="65">
        <f t="shared" si="49"/>
        <v>1.015235218</v>
      </c>
      <c r="J56" s="65">
        <f t="shared" si="49"/>
        <v>1.002970359</v>
      </c>
      <c r="K56" s="65">
        <f t="shared" si="49"/>
        <v>0.9956260944</v>
      </c>
      <c r="L56" s="65">
        <f t="shared" si="49"/>
        <v>0.9955038939</v>
      </c>
      <c r="M56" s="65">
        <f t="shared" si="49"/>
        <v>0.9900990099</v>
      </c>
      <c r="N56" s="75">
        <v>1.0</v>
      </c>
      <c r="O56" s="65"/>
      <c r="P56" s="69" t="str">
        <f t="shared" si="43"/>
        <v>All Year</v>
      </c>
      <c r="Q56" s="65">
        <f t="shared" ref="Q56:AB56" si="50">R56*Q48</f>
        <v>6.391114407</v>
      </c>
      <c r="R56" s="65">
        <f t="shared" si="50"/>
        <v>2.510321788</v>
      </c>
      <c r="S56" s="65">
        <f t="shared" si="50"/>
        <v>1.665401674</v>
      </c>
      <c r="T56" s="65">
        <f t="shared" si="50"/>
        <v>1.355154628</v>
      </c>
      <c r="U56" s="65">
        <f t="shared" si="50"/>
        <v>1.209527515</v>
      </c>
      <c r="V56" s="65">
        <f t="shared" si="50"/>
        <v>1.140203163</v>
      </c>
      <c r="W56" s="65">
        <f t="shared" si="50"/>
        <v>1.105062185</v>
      </c>
      <c r="X56" s="65">
        <f t="shared" si="50"/>
        <v>1.084670382</v>
      </c>
      <c r="Y56" s="65">
        <f t="shared" si="50"/>
        <v>1.063065285</v>
      </c>
      <c r="Z56" s="65">
        <f t="shared" si="50"/>
        <v>1.043634146</v>
      </c>
      <c r="AA56" s="65">
        <f t="shared" si="50"/>
        <v>1.027563916</v>
      </c>
      <c r="AB56" s="65">
        <f t="shared" si="50"/>
        <v>1.006998686</v>
      </c>
      <c r="AC56" s="75">
        <v>1.0</v>
      </c>
    </row>
    <row r="57" ht="12.75" customHeight="1">
      <c r="A57" s="71" t="s">
        <v>76</v>
      </c>
      <c r="B57" s="72">
        <f t="shared" ref="B57:M57" si="51">B49*C57</f>
        <v>1</v>
      </c>
      <c r="C57" s="72">
        <f t="shared" si="51"/>
        <v>1</v>
      </c>
      <c r="D57" s="72">
        <f t="shared" si="51"/>
        <v>1</v>
      </c>
      <c r="E57" s="72">
        <f t="shared" si="51"/>
        <v>1</v>
      </c>
      <c r="F57" s="72">
        <f t="shared" si="51"/>
        <v>1</v>
      </c>
      <c r="G57" s="72">
        <f t="shared" si="51"/>
        <v>1</v>
      </c>
      <c r="H57" s="72">
        <f t="shared" si="51"/>
        <v>1</v>
      </c>
      <c r="I57" s="72">
        <f t="shared" si="51"/>
        <v>1</v>
      </c>
      <c r="J57" s="72">
        <f t="shared" si="51"/>
        <v>1</v>
      </c>
      <c r="K57" s="72">
        <f t="shared" si="51"/>
        <v>1</v>
      </c>
      <c r="L57" s="72">
        <f t="shared" si="51"/>
        <v>1</v>
      </c>
      <c r="M57" s="72">
        <f t="shared" si="51"/>
        <v>1</v>
      </c>
      <c r="N57" s="73">
        <f>N49</f>
        <v>1</v>
      </c>
      <c r="P57" s="71" t="s">
        <v>76</v>
      </c>
      <c r="Q57" s="72">
        <f t="shared" ref="Q57:AB57" si="52">Q49*R57</f>
        <v>1</v>
      </c>
      <c r="R57" s="72">
        <f t="shared" si="52"/>
        <v>1</v>
      </c>
      <c r="S57" s="72">
        <f t="shared" si="52"/>
        <v>1</v>
      </c>
      <c r="T57" s="72">
        <f t="shared" si="52"/>
        <v>1</v>
      </c>
      <c r="U57" s="72">
        <f t="shared" si="52"/>
        <v>1</v>
      </c>
      <c r="V57" s="72">
        <f t="shared" si="52"/>
        <v>1</v>
      </c>
      <c r="W57" s="72">
        <f t="shared" si="52"/>
        <v>1</v>
      </c>
      <c r="X57" s="72">
        <f t="shared" si="52"/>
        <v>1</v>
      </c>
      <c r="Y57" s="72">
        <f t="shared" si="52"/>
        <v>1</v>
      </c>
      <c r="Z57" s="72">
        <f t="shared" si="52"/>
        <v>1</v>
      </c>
      <c r="AA57" s="72">
        <f t="shared" si="52"/>
        <v>1</v>
      </c>
      <c r="AB57" s="72">
        <f t="shared" si="52"/>
        <v>1</v>
      </c>
      <c r="AC57" s="73">
        <f>AC49</f>
        <v>1</v>
      </c>
    </row>
    <row r="58" ht="12.75" customHeight="1"/>
    <row r="59" ht="12.75" customHeight="1"/>
    <row r="60" ht="12.75" customHeight="1"/>
    <row r="61" ht="12.75" customHeight="1">
      <c r="A61" s="61" t="s">
        <v>101</v>
      </c>
      <c r="B61" s="62" t="s">
        <v>147</v>
      </c>
      <c r="O61" s="62"/>
      <c r="P61" s="61" t="s">
        <v>101</v>
      </c>
      <c r="Q61" s="62" t="s">
        <v>148</v>
      </c>
    </row>
    <row r="62" ht="12.75" customHeight="1">
      <c r="A62" s="30" t="s">
        <v>101</v>
      </c>
      <c r="B62" s="62" t="s">
        <v>145</v>
      </c>
      <c r="O62" s="62"/>
      <c r="P62" s="30" t="s">
        <v>101</v>
      </c>
      <c r="Q62" s="62" t="s">
        <v>146</v>
      </c>
    </row>
    <row r="63" ht="12.75" customHeight="1">
      <c r="B63" s="30">
        <v>12.0</v>
      </c>
      <c r="C63" s="30">
        <v>24.0</v>
      </c>
      <c r="D63" s="30">
        <v>36.0</v>
      </c>
      <c r="E63" s="30">
        <v>48.0</v>
      </c>
      <c r="F63" s="30">
        <v>60.0</v>
      </c>
      <c r="G63" s="30">
        <v>72.0</v>
      </c>
      <c r="H63" s="30">
        <v>84.0</v>
      </c>
      <c r="I63" s="30">
        <v>96.0</v>
      </c>
      <c r="J63" s="30">
        <v>108.0</v>
      </c>
      <c r="K63" s="30">
        <v>120.0</v>
      </c>
      <c r="L63" s="30">
        <v>132.0</v>
      </c>
      <c r="M63" s="30">
        <v>144.0</v>
      </c>
      <c r="N63" s="30">
        <v>156.0</v>
      </c>
      <c r="Q63" s="30">
        <v>12.0</v>
      </c>
      <c r="R63" s="30">
        <v>24.0</v>
      </c>
      <c r="S63" s="30">
        <v>36.0</v>
      </c>
      <c r="T63" s="30">
        <v>48.0</v>
      </c>
      <c r="U63" s="30">
        <v>60.0</v>
      </c>
      <c r="V63" s="30">
        <v>72.0</v>
      </c>
      <c r="W63" s="30">
        <v>84.0</v>
      </c>
      <c r="X63" s="30">
        <v>96.0</v>
      </c>
      <c r="Y63" s="30">
        <v>108.0</v>
      </c>
      <c r="Z63" s="30">
        <v>120.0</v>
      </c>
      <c r="AA63" s="30">
        <v>132.0</v>
      </c>
      <c r="AB63" s="30">
        <v>144.0</v>
      </c>
      <c r="AC63" s="30">
        <v>156.0</v>
      </c>
    </row>
    <row r="64" ht="12.75" customHeight="1">
      <c r="A64" s="30" t="s">
        <v>116</v>
      </c>
      <c r="B64" s="30" t="s">
        <v>108</v>
      </c>
      <c r="C64" s="30" t="s">
        <v>108</v>
      </c>
      <c r="D64" s="30" t="s">
        <v>108</v>
      </c>
      <c r="E64" s="30" t="s">
        <v>108</v>
      </c>
      <c r="F64" s="30" t="s">
        <v>108</v>
      </c>
      <c r="G64" s="30" t="s">
        <v>108</v>
      </c>
      <c r="H64" s="30" t="s">
        <v>108</v>
      </c>
      <c r="I64" s="30" t="s">
        <v>108</v>
      </c>
      <c r="J64" s="30" t="s">
        <v>108</v>
      </c>
      <c r="K64" s="30" t="s">
        <v>108</v>
      </c>
      <c r="L64" s="30" t="s">
        <v>108</v>
      </c>
      <c r="M64" s="30" t="s">
        <v>108</v>
      </c>
      <c r="N64" s="30" t="s">
        <v>108</v>
      </c>
      <c r="P64" s="30" t="s">
        <v>116</v>
      </c>
      <c r="Q64" s="30" t="s">
        <v>108</v>
      </c>
      <c r="R64" s="30" t="s">
        <v>108</v>
      </c>
      <c r="S64" s="30" t="s">
        <v>108</v>
      </c>
      <c r="T64" s="30" t="s">
        <v>108</v>
      </c>
      <c r="U64" s="30" t="s">
        <v>108</v>
      </c>
      <c r="V64" s="30" t="s">
        <v>108</v>
      </c>
      <c r="W64" s="30" t="s">
        <v>108</v>
      </c>
      <c r="X64" s="30" t="s">
        <v>108</v>
      </c>
      <c r="Y64" s="30" t="s">
        <v>108</v>
      </c>
      <c r="Z64" s="30" t="s">
        <v>108</v>
      </c>
      <c r="AA64" s="30" t="s">
        <v>108</v>
      </c>
      <c r="AB64" s="30" t="s">
        <v>108</v>
      </c>
      <c r="AC64" s="30" t="s">
        <v>108</v>
      </c>
    </row>
    <row r="65" ht="12.75" customHeight="1">
      <c r="A65" s="63" t="s">
        <v>84</v>
      </c>
      <c r="B65" s="67">
        <v>24.0</v>
      </c>
      <c r="C65" s="67">
        <v>36.0</v>
      </c>
      <c r="D65" s="67">
        <v>48.0</v>
      </c>
      <c r="E65" s="67">
        <v>60.0</v>
      </c>
      <c r="F65" s="67">
        <v>72.0</v>
      </c>
      <c r="G65" s="67">
        <v>84.0</v>
      </c>
      <c r="H65" s="67">
        <v>96.0</v>
      </c>
      <c r="I65" s="67">
        <v>108.0</v>
      </c>
      <c r="J65" s="67">
        <v>120.0</v>
      </c>
      <c r="K65" s="67">
        <v>132.0</v>
      </c>
      <c r="L65" s="67">
        <v>144.0</v>
      </c>
      <c r="M65" s="67">
        <v>156.0</v>
      </c>
      <c r="N65" s="67" t="s">
        <v>77</v>
      </c>
      <c r="P65" s="63" t="s">
        <v>84</v>
      </c>
      <c r="Q65" s="67">
        <v>24.0</v>
      </c>
      <c r="R65" s="67">
        <v>36.0</v>
      </c>
      <c r="S65" s="67">
        <v>48.0</v>
      </c>
      <c r="T65" s="67">
        <v>60.0</v>
      </c>
      <c r="U65" s="67">
        <v>72.0</v>
      </c>
      <c r="V65" s="67">
        <v>84.0</v>
      </c>
      <c r="W65" s="67">
        <v>96.0</v>
      </c>
      <c r="X65" s="67">
        <v>108.0</v>
      </c>
      <c r="Y65" s="67">
        <v>120.0</v>
      </c>
      <c r="Z65" s="67">
        <v>132.0</v>
      </c>
      <c r="AA65" s="67">
        <v>144.0</v>
      </c>
      <c r="AB65" s="67">
        <v>156.0</v>
      </c>
      <c r="AC65" s="67" t="s">
        <v>77</v>
      </c>
    </row>
    <row r="66" ht="12.75" customHeight="1">
      <c r="A66" s="63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P66" s="63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</row>
    <row r="67" ht="12.75" customHeight="1">
      <c r="A67" s="30">
        <f t="shared" ref="A67:A71" si="55">A15</f>
        <v>2010</v>
      </c>
      <c r="B67" s="76">
        <f t="shared" ref="B67:I67" si="53">OFFSET(B37,($B$63-B$63)/12,0)</f>
        <v>1.149929707</v>
      </c>
      <c r="C67" s="76">
        <f t="shared" si="53"/>
        <v>1.073784565</v>
      </c>
      <c r="D67" s="76">
        <f t="shared" si="53"/>
        <v>1.029982891</v>
      </c>
      <c r="E67" s="76">
        <f t="shared" si="53"/>
        <v>1.001</v>
      </c>
      <c r="F67" s="76">
        <f t="shared" si="53"/>
        <v>0.991</v>
      </c>
      <c r="G67" s="76">
        <f t="shared" si="53"/>
        <v>0.992</v>
      </c>
      <c r="H67" s="76">
        <f t="shared" si="53"/>
        <v>0.993</v>
      </c>
      <c r="I67" s="76">
        <f t="shared" si="53"/>
        <v>1.019549852</v>
      </c>
      <c r="J67" s="76"/>
      <c r="K67" s="76"/>
      <c r="L67" s="76"/>
      <c r="M67" s="76"/>
      <c r="P67" s="30">
        <f t="shared" ref="P67:P71" si="57">P15</f>
        <v>2010</v>
      </c>
      <c r="Q67" s="76">
        <f t="shared" ref="Q67:X67" si="54">OFFSET(Q37,($B$63-Q$63)/12,0)</f>
        <v>2.316423982</v>
      </c>
      <c r="R67" s="76">
        <f t="shared" si="54"/>
        <v>1.473400477</v>
      </c>
      <c r="S67" s="76">
        <f t="shared" si="54"/>
        <v>1.206124893</v>
      </c>
      <c r="T67" s="76">
        <f t="shared" si="54"/>
        <v>1.115</v>
      </c>
      <c r="U67" s="76">
        <f t="shared" si="54"/>
        <v>1.06</v>
      </c>
      <c r="V67" s="76">
        <f t="shared" si="54"/>
        <v>1.03</v>
      </c>
      <c r="W67" s="76">
        <f t="shared" si="54"/>
        <v>1.015</v>
      </c>
      <c r="X67" s="76">
        <f t="shared" si="54"/>
        <v>1.025476383</v>
      </c>
      <c r="Y67" s="76"/>
      <c r="Z67" s="76"/>
      <c r="AA67" s="76"/>
      <c r="AB67" s="76"/>
    </row>
    <row r="68" ht="12.75" customHeight="1">
      <c r="A68" s="30">
        <f t="shared" si="55"/>
        <v>2011</v>
      </c>
      <c r="B68" s="76">
        <f t="shared" ref="B68:J68" si="56">OFFSET(B38,($B$63-B$63)/12,0)</f>
        <v>1.172693002</v>
      </c>
      <c r="C68" s="76">
        <f t="shared" si="56"/>
        <v>1.093308271</v>
      </c>
      <c r="D68" s="76">
        <f t="shared" si="56"/>
        <v>1.033</v>
      </c>
      <c r="E68" s="76">
        <f t="shared" si="56"/>
        <v>1.004</v>
      </c>
      <c r="F68" s="76">
        <f t="shared" si="56"/>
        <v>0.995</v>
      </c>
      <c r="G68" s="76">
        <f t="shared" si="56"/>
        <v>0.987</v>
      </c>
      <c r="H68" s="76">
        <f t="shared" si="56"/>
        <v>0.998</v>
      </c>
      <c r="I68" s="76">
        <f t="shared" si="56"/>
        <v>1.047190288</v>
      </c>
      <c r="J68" s="76">
        <f t="shared" si="56"/>
        <v>1.009591446</v>
      </c>
      <c r="K68" s="76"/>
      <c r="L68" s="76"/>
      <c r="M68" s="76"/>
      <c r="P68" s="30">
        <f t="shared" si="57"/>
        <v>2011</v>
      </c>
      <c r="Q68" s="76">
        <f t="shared" ref="Q68:Y68" si="58">OFFSET(Q38,($B$63-Q$63)/12,0)</f>
        <v>2.344528771</v>
      </c>
      <c r="R68" s="76">
        <f t="shared" si="58"/>
        <v>1.526691729</v>
      </c>
      <c r="S68" s="76">
        <f t="shared" si="58"/>
        <v>1.236</v>
      </c>
      <c r="T68" s="76">
        <f t="shared" si="58"/>
        <v>1.137</v>
      </c>
      <c r="U68" s="76">
        <f t="shared" si="58"/>
        <v>1.066</v>
      </c>
      <c r="V68" s="76">
        <f t="shared" si="58"/>
        <v>1.032</v>
      </c>
      <c r="W68" s="76">
        <f t="shared" si="58"/>
        <v>1.022</v>
      </c>
      <c r="X68" s="76">
        <f t="shared" si="58"/>
        <v>1.03736268</v>
      </c>
      <c r="Y68" s="76">
        <f t="shared" si="58"/>
        <v>1.022928595</v>
      </c>
      <c r="Z68" s="76"/>
      <c r="AA68" s="76"/>
      <c r="AB68" s="76"/>
    </row>
    <row r="69" ht="12.75" customHeight="1">
      <c r="A69" s="30">
        <f t="shared" si="55"/>
        <v>2012</v>
      </c>
      <c r="B69" s="76">
        <f t="shared" ref="B69:K69" si="59">OFFSET(B39,($B$63-B$63)/12,0)</f>
        <v>1.342624381</v>
      </c>
      <c r="C69" s="76">
        <f t="shared" si="59"/>
        <v>1.082036589</v>
      </c>
      <c r="D69" s="76">
        <f t="shared" si="59"/>
        <v>1.035</v>
      </c>
      <c r="E69" s="76">
        <f t="shared" si="59"/>
        <v>0.996</v>
      </c>
      <c r="F69" s="76">
        <f t="shared" si="59"/>
        <v>0.993</v>
      </c>
      <c r="G69" s="76">
        <f t="shared" si="59"/>
        <v>1.003</v>
      </c>
      <c r="H69" s="76">
        <f t="shared" si="59"/>
        <v>1.003</v>
      </c>
      <c r="I69" s="76">
        <f t="shared" si="59"/>
        <v>0.9934589574</v>
      </c>
      <c r="J69" s="76">
        <f t="shared" si="59"/>
        <v>1.009653461</v>
      </c>
      <c r="K69" s="76">
        <f t="shared" si="59"/>
        <v>0.9810547499</v>
      </c>
      <c r="L69" s="76"/>
      <c r="M69" s="76"/>
      <c r="P69" s="30">
        <f t="shared" si="57"/>
        <v>2012</v>
      </c>
      <c r="Q69" s="76">
        <f t="shared" ref="Q69:Z69" si="60">OFFSET(Q39,($B$63-Q$63)/12,0)</f>
        <v>2.969132001</v>
      </c>
      <c r="R69" s="76">
        <f t="shared" si="60"/>
        <v>1.502990626</v>
      </c>
      <c r="S69" s="76">
        <f t="shared" si="60"/>
        <v>1.23</v>
      </c>
      <c r="T69" s="76">
        <f t="shared" si="60"/>
        <v>1.118</v>
      </c>
      <c r="U69" s="76">
        <f t="shared" si="60"/>
        <v>1.057</v>
      </c>
      <c r="V69" s="76">
        <f t="shared" si="60"/>
        <v>1.04</v>
      </c>
      <c r="W69" s="76">
        <f t="shared" si="60"/>
        <v>1.025</v>
      </c>
      <c r="X69" s="76">
        <f t="shared" si="60"/>
        <v>1.003487461</v>
      </c>
      <c r="Y69" s="76">
        <f t="shared" si="60"/>
        <v>1.014294562</v>
      </c>
      <c r="Z69" s="76">
        <f t="shared" si="60"/>
        <v>1</v>
      </c>
      <c r="AA69" s="76"/>
      <c r="AB69" s="76"/>
    </row>
    <row r="70" ht="12.75" customHeight="1">
      <c r="A70" s="30">
        <f t="shared" si="55"/>
        <v>2013</v>
      </c>
      <c r="B70" s="76">
        <f t="shared" ref="B70:L70" si="61">OFFSET(B40,($B$63-B$63)/12,0)</f>
        <v>1.189892916</v>
      </c>
      <c r="C70" s="76">
        <f t="shared" si="61"/>
        <v>1.12294777</v>
      </c>
      <c r="D70" s="76">
        <f t="shared" si="61"/>
        <v>1.028</v>
      </c>
      <c r="E70" s="76">
        <f t="shared" si="61"/>
        <v>0.996</v>
      </c>
      <c r="F70" s="76">
        <f t="shared" si="61"/>
        <v>0.995</v>
      </c>
      <c r="G70" s="76">
        <f t="shared" si="61"/>
        <v>0.998</v>
      </c>
      <c r="H70" s="76">
        <f t="shared" si="61"/>
        <v>0.99</v>
      </c>
      <c r="I70" s="76">
        <f t="shared" si="61"/>
        <v>1.006458792</v>
      </c>
      <c r="J70" s="76">
        <f t="shared" si="61"/>
        <v>1.020307383</v>
      </c>
      <c r="K70" s="76">
        <f t="shared" si="61"/>
        <v>1.025205298</v>
      </c>
      <c r="L70" s="76">
        <f t="shared" si="61"/>
        <v>1.019173645</v>
      </c>
      <c r="M70" s="76"/>
      <c r="P70" s="30">
        <f t="shared" si="57"/>
        <v>2013</v>
      </c>
      <c r="Q70" s="76">
        <f t="shared" ref="Q70:AA70" si="62">OFFSET(Q40,($B$63-Q$63)/12,0)</f>
        <v>2.552298188</v>
      </c>
      <c r="R70" s="76">
        <f t="shared" si="62"/>
        <v>1.524465081</v>
      </c>
      <c r="S70" s="76">
        <f t="shared" si="62"/>
        <v>1.236</v>
      </c>
      <c r="T70" s="76">
        <f t="shared" si="62"/>
        <v>1.117</v>
      </c>
      <c r="U70" s="76">
        <f t="shared" si="62"/>
        <v>1.061</v>
      </c>
      <c r="V70" s="76">
        <f t="shared" si="62"/>
        <v>1.03</v>
      </c>
      <c r="W70" s="76">
        <f t="shared" si="62"/>
        <v>1.017</v>
      </c>
      <c r="X70" s="76">
        <f t="shared" si="62"/>
        <v>1.023568506</v>
      </c>
      <c r="Y70" s="76">
        <f t="shared" si="62"/>
        <v>1.026335452</v>
      </c>
      <c r="Z70" s="76">
        <f t="shared" si="62"/>
        <v>1.035396822</v>
      </c>
      <c r="AA70" s="76">
        <f t="shared" si="62"/>
        <v>1.021460457</v>
      </c>
      <c r="AB70" s="76"/>
    </row>
    <row r="71" ht="12.75" customHeight="1">
      <c r="A71" s="30">
        <f t="shared" si="55"/>
        <v>2014</v>
      </c>
      <c r="B71" s="76">
        <f t="shared" ref="B71:M71" si="63">OFFSET(B41,($B$63-B$63)/12,0)</f>
        <v>1.338014656</v>
      </c>
      <c r="C71" s="76">
        <f t="shared" si="63"/>
        <v>1.130377634</v>
      </c>
      <c r="D71" s="76">
        <f t="shared" si="63"/>
        <v>1.034468039</v>
      </c>
      <c r="E71" s="76">
        <f t="shared" si="63"/>
        <v>1.009</v>
      </c>
      <c r="F71" s="76">
        <f t="shared" si="63"/>
        <v>1.002</v>
      </c>
      <c r="G71" s="76">
        <f t="shared" si="63"/>
        <v>0.996</v>
      </c>
      <c r="H71" s="76">
        <f t="shared" si="63"/>
        <v>0.99</v>
      </c>
      <c r="I71" s="76">
        <f t="shared" si="63"/>
        <v>0.9944847912</v>
      </c>
      <c r="J71" s="76">
        <f t="shared" si="63"/>
        <v>0.9899538246</v>
      </c>
      <c r="K71" s="76">
        <f t="shared" si="63"/>
        <v>0.9941082094</v>
      </c>
      <c r="L71" s="76">
        <f t="shared" si="63"/>
        <v>0.9917442204</v>
      </c>
      <c r="M71" s="76">
        <f t="shared" si="63"/>
        <v>0.9900990099</v>
      </c>
      <c r="P71" s="30">
        <f t="shared" si="57"/>
        <v>2014</v>
      </c>
      <c r="Q71" s="76">
        <f t="shared" ref="Q71:AB71" si="64">OFFSET(Q41,($B$63-Q$63)/12,0)</f>
        <v>2.547288684</v>
      </c>
      <c r="R71" s="76">
        <f t="shared" si="64"/>
        <v>1.509137763</v>
      </c>
      <c r="S71" s="76">
        <f t="shared" si="64"/>
        <v>1.236567525</v>
      </c>
      <c r="T71" s="76">
        <f t="shared" si="64"/>
        <v>1.115</v>
      </c>
      <c r="U71" s="76">
        <f t="shared" si="64"/>
        <v>1.06</v>
      </c>
      <c r="V71" s="76">
        <f t="shared" si="64"/>
        <v>1.027</v>
      </c>
      <c r="W71" s="76">
        <f t="shared" si="64"/>
        <v>1.015</v>
      </c>
      <c r="X71" s="76">
        <f t="shared" si="64"/>
        <v>1.011721951</v>
      </c>
      <c r="Y71" s="76">
        <f t="shared" si="64"/>
        <v>1.010916296</v>
      </c>
      <c r="Z71" s="76">
        <f t="shared" si="64"/>
        <v>1.01152064</v>
      </c>
      <c r="AA71" s="76">
        <f t="shared" si="64"/>
        <v>1.019384144</v>
      </c>
      <c r="AB71" s="76">
        <f t="shared" si="64"/>
        <v>1.006998686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B25:N25"/>
    <mergeCell ref="B61:N61"/>
    <mergeCell ref="Q61:AC61"/>
    <mergeCell ref="B62:N62"/>
    <mergeCell ref="Q62:AC62"/>
    <mergeCell ref="B2:N2"/>
    <mergeCell ref="Q2:AC2"/>
    <mergeCell ref="B3:N3"/>
    <mergeCell ref="Q3:AC3"/>
    <mergeCell ref="B24:N24"/>
    <mergeCell ref="Q24:AC24"/>
    <mergeCell ref="Q25:AC2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workbookViewId="0"/>
  </sheetViews>
  <sheetFormatPr customHeight="1" defaultColWidth="12.63" defaultRowHeight="15.0"/>
  <cols>
    <col customWidth="1" min="1" max="13" width="8.63"/>
    <col customWidth="1" min="14" max="29" width="9.5"/>
    <col customWidth="1" min="30" max="37" width="8.63"/>
  </cols>
  <sheetData>
    <row r="1" ht="12.75" customHeight="1"/>
    <row r="2" ht="12.75" customHeight="1">
      <c r="A2" s="61" t="s">
        <v>101</v>
      </c>
      <c r="B2" s="62" t="s">
        <v>102</v>
      </c>
      <c r="O2" s="62"/>
      <c r="P2" s="61" t="s">
        <v>101</v>
      </c>
      <c r="Q2" s="62" t="s">
        <v>103</v>
      </c>
    </row>
    <row r="3" ht="12.75" customHeight="1">
      <c r="A3" s="30" t="s">
        <v>101</v>
      </c>
      <c r="B3" s="62" t="s">
        <v>149</v>
      </c>
      <c r="O3" s="62"/>
      <c r="P3" s="30" t="s">
        <v>101</v>
      </c>
      <c r="Q3" s="62" t="s">
        <v>150</v>
      </c>
    </row>
    <row r="4" ht="12.75" customHeight="1">
      <c r="A4" s="30"/>
      <c r="P4" s="30"/>
    </row>
    <row r="5" ht="12.75" customHeight="1">
      <c r="A5" s="30" t="s">
        <v>74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 t="s">
        <v>74</v>
      </c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ht="12.75" customHeight="1">
      <c r="A6" s="63" t="s">
        <v>84</v>
      </c>
      <c r="B6" s="30">
        <v>12.0</v>
      </c>
      <c r="C6" s="30">
        <v>24.0</v>
      </c>
      <c r="D6" s="30">
        <v>36.0</v>
      </c>
      <c r="E6" s="30">
        <v>48.0</v>
      </c>
      <c r="F6" s="30">
        <v>60.0</v>
      </c>
      <c r="G6" s="30">
        <v>72.0</v>
      </c>
      <c r="H6" s="30">
        <v>84.0</v>
      </c>
      <c r="I6" s="30">
        <v>96.0</v>
      </c>
      <c r="J6" s="30">
        <v>108.0</v>
      </c>
      <c r="K6" s="30">
        <v>120.0</v>
      </c>
      <c r="L6" s="30">
        <v>132.0</v>
      </c>
      <c r="M6" s="30">
        <v>144.0</v>
      </c>
      <c r="N6" s="30">
        <v>156.0</v>
      </c>
      <c r="O6" s="30"/>
      <c r="P6" s="63" t="s">
        <v>84</v>
      </c>
      <c r="Q6" s="30">
        <v>12.0</v>
      </c>
      <c r="R6" s="30">
        <v>24.0</v>
      </c>
      <c r="S6" s="30">
        <v>36.0</v>
      </c>
      <c r="T6" s="30">
        <v>48.0</v>
      </c>
      <c r="U6" s="30">
        <v>60.0</v>
      </c>
      <c r="V6" s="30">
        <v>72.0</v>
      </c>
      <c r="W6" s="30">
        <v>84.0</v>
      </c>
      <c r="X6" s="30">
        <v>84.0</v>
      </c>
      <c r="Y6" s="30">
        <v>84.0</v>
      </c>
      <c r="Z6" s="30">
        <v>84.0</v>
      </c>
      <c r="AA6" s="30">
        <v>84.0</v>
      </c>
      <c r="AB6" s="30">
        <v>84.0</v>
      </c>
      <c r="AC6" s="30">
        <v>96.0</v>
      </c>
    </row>
    <row r="7" ht="12.75" customHeight="1">
      <c r="A7" s="63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3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</row>
    <row r="8" ht="12.75" customHeight="1">
      <c r="A8" s="30">
        <v>2003.0</v>
      </c>
      <c r="B8" s="65"/>
      <c r="C8" s="66"/>
      <c r="D8" s="66"/>
      <c r="E8" s="66"/>
      <c r="F8" s="66"/>
      <c r="G8" s="66"/>
      <c r="H8" s="66"/>
      <c r="I8" s="66">
        <f>Base_Med_Tri!I8*1000/Rep_Tri!I8</f>
        <v>15681.56934</v>
      </c>
      <c r="J8" s="66">
        <f>Base_Med_Tri!J8*1000/Rep_Tri!J8</f>
        <v>16581.20824</v>
      </c>
      <c r="K8" s="66">
        <f>Base_Med_Tri!K8*1000/Rep_Tri!K8</f>
        <v>17203.84317</v>
      </c>
      <c r="L8" s="66">
        <f>Base_Med_Tri!L8*1000/Rep_Tri!L8</f>
        <v>17016.79674</v>
      </c>
      <c r="M8" s="66">
        <f>Base_Med_Tri!M8*1000/Rep_Tri!M8</f>
        <v>17358.87</v>
      </c>
      <c r="N8" s="66">
        <f>Base_Med_Tri!N8*1000/Rep_Tri!N8</f>
        <v>17187</v>
      </c>
      <c r="O8" s="66"/>
      <c r="P8" s="30">
        <v>2003.0</v>
      </c>
      <c r="Q8" s="65"/>
      <c r="R8" s="66"/>
      <c r="S8" s="66"/>
      <c r="T8" s="66"/>
      <c r="U8" s="66"/>
      <c r="V8" s="66"/>
      <c r="W8" s="66"/>
      <c r="X8" s="66">
        <f>Base_Med_Tri!X8*1000/Rep_Tri!I8</f>
        <v>14906.33131</v>
      </c>
      <c r="Y8" s="66">
        <f>Base_Med_Tri!Y8*1000/Rep_Tri!J8</f>
        <v>15490.23495</v>
      </c>
      <c r="Z8" s="66">
        <f>Base_Med_Tri!Z8*1000/Rep_Tri!K8</f>
        <v>16057.01809</v>
      </c>
      <c r="AA8" s="66">
        <f>Base_Med_Tri!AA8*1000/Rep_Tri!L8</f>
        <v>16224.10115</v>
      </c>
      <c r="AB8" s="66">
        <f>Base_Med_Tri!AB8*1000/Rep_Tri!M8</f>
        <v>16768.6381</v>
      </c>
      <c r="AC8" s="66">
        <f>Base_Med_Tri!AC8*1000/Rep_Tri!N8</f>
        <v>17187</v>
      </c>
    </row>
    <row r="9" ht="12.75" customHeight="1">
      <c r="A9" s="30">
        <v>2004.0</v>
      </c>
      <c r="B9" s="66"/>
      <c r="C9" s="66"/>
      <c r="D9" s="66"/>
      <c r="E9" s="66"/>
      <c r="F9" s="66"/>
      <c r="G9" s="66"/>
      <c r="H9" s="66">
        <f>Base_Med_Tri!H9*1000/Rep_Tri!H9</f>
        <v>17643.71907</v>
      </c>
      <c r="I9" s="66">
        <f>Base_Med_Tri!I9*1000/Rep_Tri!I9</f>
        <v>17714.29395</v>
      </c>
      <c r="J9" s="66">
        <f>Base_Med_Tri!J9*1000/Rep_Tri!J9</f>
        <v>18254.52705</v>
      </c>
      <c r="K9" s="66">
        <f>Base_Med_Tri!K9*1000/Rep_Tri!K9</f>
        <v>18209.95084</v>
      </c>
      <c r="L9" s="66">
        <f>Base_Med_Tri!L9*1000/Rep_Tri!L9</f>
        <v>18601.56011</v>
      </c>
      <c r="M9" s="66">
        <f>Base_Med_Tri!M9*1000/Rep_Tri!M9</f>
        <v>18440.58</v>
      </c>
      <c r="N9" s="66"/>
      <c r="O9" s="66"/>
      <c r="P9" s="30">
        <v>2004.0</v>
      </c>
      <c r="Q9" s="66"/>
      <c r="R9" s="66"/>
      <c r="S9" s="66"/>
      <c r="T9" s="66"/>
      <c r="U9" s="66"/>
      <c r="V9" s="66"/>
      <c r="W9" s="66">
        <f>Base_Med_Tri!W9*1000/Rep_Tri!H9</f>
        <v>16650.49159</v>
      </c>
      <c r="X9" s="66">
        <f>Base_Med_Tri!X9*1000/Rep_Tri!I9</f>
        <v>16700.44307</v>
      </c>
      <c r="Y9" s="66">
        <f>Base_Med_Tri!Y9*1000/Rep_Tri!J9</f>
        <v>17138.58877</v>
      </c>
      <c r="Z9" s="66">
        <f>Base_Med_Tri!Z9*1000/Rep_Tri!K9</f>
        <v>17197.11521</v>
      </c>
      <c r="AA9" s="66">
        <f>Base_Med_Tri!AA9*1000/Rep_Tri!L9</f>
        <v>17633.85354</v>
      </c>
      <c r="AB9" s="66">
        <f>Base_Med_Tri!AB9*1000/Rep_Tri!M9</f>
        <v>17813.56807</v>
      </c>
      <c r="AC9" s="66"/>
    </row>
    <row r="10" ht="12.75" customHeight="1">
      <c r="A10" s="30">
        <v>2005.0</v>
      </c>
      <c r="B10" s="66"/>
      <c r="C10" s="66"/>
      <c r="D10" s="66"/>
      <c r="E10" s="66"/>
      <c r="F10" s="66"/>
      <c r="G10" s="66">
        <f>Base_Med_Tri!G10*1000/Rep_Tri!G10</f>
        <v>18056.90578</v>
      </c>
      <c r="H10" s="66">
        <f>Base_Med_Tri!H10*1000/Rep_Tri!H10</f>
        <v>17858.27981</v>
      </c>
      <c r="I10" s="66">
        <f>Base_Med_Tri!I10*1000/Rep_Tri!I10</f>
        <v>17751.13014</v>
      </c>
      <c r="J10" s="66">
        <f>Base_Med_Tri!J10*1000/Rep_Tri!J10</f>
        <v>18489.91918</v>
      </c>
      <c r="K10" s="66">
        <f>Base_Med_Tri!K10*1000/Rep_Tri!K10</f>
        <v>19547.23565</v>
      </c>
      <c r="L10" s="66">
        <f>Base_Med_Tri!L10*1000/Rep_Tri!L10</f>
        <v>19640.15002</v>
      </c>
      <c r="M10" s="66"/>
      <c r="N10" s="66"/>
      <c r="O10" s="66"/>
      <c r="P10" s="30">
        <v>2005.0</v>
      </c>
      <c r="Q10" s="66"/>
      <c r="R10" s="66"/>
      <c r="S10" s="66"/>
      <c r="T10" s="66"/>
      <c r="U10" s="66"/>
      <c r="V10" s="66">
        <f>Base_Med_Tri!V10*1000/Rep_Tri!G10</f>
        <v>16976.10373</v>
      </c>
      <c r="W10" s="66">
        <f>Base_Med_Tri!W10*1000/Rep_Tri!H10</f>
        <v>17060.98425</v>
      </c>
      <c r="X10" s="66">
        <f>Base_Med_Tri!X10*1000/Rep_Tri!I10</f>
        <v>17146.28917</v>
      </c>
      <c r="Y10" s="66">
        <f>Base_Med_Tri!Y10*1000/Rep_Tri!J10</f>
        <v>17471.15976</v>
      </c>
      <c r="Z10" s="66">
        <f>Base_Med_Tri!Z10*1000/Rep_Tri!K10</f>
        <v>18207.51629</v>
      </c>
      <c r="AA10" s="66">
        <f>Base_Med_Tri!AA10*1000/Rep_Tri!L10</f>
        <v>18672.44261</v>
      </c>
      <c r="AB10" s="66"/>
      <c r="AC10" s="66"/>
    </row>
    <row r="11" ht="12.75" customHeight="1">
      <c r="A11" s="30">
        <v>2006.0</v>
      </c>
      <c r="B11" s="66"/>
      <c r="C11" s="66"/>
      <c r="D11" s="66"/>
      <c r="E11" s="66"/>
      <c r="F11" s="66">
        <f>Base_Med_Tri!F11*1000/Rep_Tri!F11</f>
        <v>20407.78905</v>
      </c>
      <c r="G11" s="66">
        <f>Base_Med_Tri!G11*1000/Rep_Tri!G11</f>
        <v>20285.34231</v>
      </c>
      <c r="H11" s="66">
        <f>Base_Med_Tri!H11*1000/Rep_Tri!H11</f>
        <v>19981.06218</v>
      </c>
      <c r="I11" s="66">
        <f>Base_Med_Tri!I11*1000/Rep_Tri!I11</f>
        <v>20200.85386</v>
      </c>
      <c r="J11" s="66">
        <f>Base_Med_Tri!J11*1000/Rep_Tri!J11</f>
        <v>20806.9187</v>
      </c>
      <c r="K11" s="66">
        <f>Base_Med_Tri!K11*1000/Rep_Tri!K11</f>
        <v>20958.21263</v>
      </c>
      <c r="L11" s="66"/>
      <c r="M11" s="66"/>
      <c r="N11" s="66"/>
      <c r="O11" s="66"/>
      <c r="P11" s="30">
        <v>2006.0</v>
      </c>
      <c r="Q11" s="66"/>
      <c r="R11" s="66"/>
      <c r="S11" s="66"/>
      <c r="T11" s="66"/>
      <c r="U11" s="66">
        <f>Base_Med_Tri!U11*1000/Rep_Tri!F11</f>
        <v>18521.54837</v>
      </c>
      <c r="V11" s="66">
        <f>Base_Med_Tri!V11*1000/Rep_Tri!G11</f>
        <v>18817.89315</v>
      </c>
      <c r="W11" s="66">
        <f>Base_Med_Tri!W11*1000/Rep_Tri!H11</f>
        <v>18930.80051</v>
      </c>
      <c r="X11" s="66">
        <f>Base_Med_Tri!X11*1000/Rep_Tri!I11</f>
        <v>19082.24691</v>
      </c>
      <c r="Y11" s="66">
        <f>Base_Med_Tri!Y11*1000/Rep_Tri!J11</f>
        <v>19487.93769</v>
      </c>
      <c r="Z11" s="66">
        <f>Base_Med_Tri!Z11*1000/Rep_Tri!K11</f>
        <v>19656.24408</v>
      </c>
      <c r="AA11" s="66"/>
      <c r="AB11" s="66"/>
      <c r="AC11" s="66"/>
    </row>
    <row r="12" ht="12.75" customHeight="1">
      <c r="A12" s="30">
        <v>2007.0</v>
      </c>
      <c r="B12" s="66"/>
      <c r="C12" s="66"/>
      <c r="D12" s="66"/>
      <c r="E12" s="66">
        <f>Base_Med_Tri!E12*1000/Rep_Tri!E12</f>
        <v>22425.57115</v>
      </c>
      <c r="F12" s="66">
        <f>Base_Med_Tri!F12*1000/Rep_Tri!F12</f>
        <v>22111.61315</v>
      </c>
      <c r="G12" s="66">
        <f>Base_Med_Tri!G12*1000/Rep_Tri!G12</f>
        <v>21868.38541</v>
      </c>
      <c r="H12" s="66">
        <f>Base_Med_Tri!H12*1000/Rep_Tri!H12</f>
        <v>21496.62286</v>
      </c>
      <c r="I12" s="66">
        <f>Base_Med_Tri!I12*1000/Rep_Tri!I12</f>
        <v>21432.13299</v>
      </c>
      <c r="J12" s="66">
        <f>Base_Med_Tri!J12*1000/Rep_Tri!J12</f>
        <v>21793.43386</v>
      </c>
      <c r="K12" s="66"/>
      <c r="L12" s="66"/>
      <c r="M12" s="66"/>
      <c r="N12" s="66"/>
      <c r="O12" s="66"/>
      <c r="P12" s="30">
        <v>2007.0</v>
      </c>
      <c r="Q12" s="66"/>
      <c r="R12" s="66"/>
      <c r="S12" s="66"/>
      <c r="T12" s="66">
        <f>Base_Med_Tri!T12*1000/Rep_Tri!E12</f>
        <v>19480.39706</v>
      </c>
      <c r="U12" s="66">
        <f>Base_Med_Tri!U12*1000/Rep_Tri!F12</f>
        <v>19908.96579</v>
      </c>
      <c r="V12" s="66">
        <f>Base_Med_Tri!V12*1000/Rep_Tri!G12</f>
        <v>20088.14648</v>
      </c>
      <c r="W12" s="66">
        <f>Base_Med_Tri!W12*1000/Rep_Tri!H12</f>
        <v>20148.41092</v>
      </c>
      <c r="X12" s="66">
        <f>Base_Med_Tri!X12*1000/Rep_Tri!I12</f>
        <v>20208.85616</v>
      </c>
      <c r="Y12" s="66">
        <f>Base_Med_Tri!Y12*1000/Rep_Tri!J12</f>
        <v>20529.91659</v>
      </c>
      <c r="Z12" s="66"/>
      <c r="AA12" s="66"/>
      <c r="AB12" s="66"/>
      <c r="AC12" s="66"/>
    </row>
    <row r="13" ht="12.75" customHeight="1">
      <c r="A13" s="30">
        <v>2008.0</v>
      </c>
      <c r="B13" s="66"/>
      <c r="C13" s="66"/>
      <c r="D13" s="66">
        <f>Base_Med_Tri!D13*1000/Rep_Tri!D13</f>
        <v>22781.53364</v>
      </c>
      <c r="E13" s="66">
        <f>Base_Med_Tri!E13*1000/Rep_Tri!E13</f>
        <v>22535.07474</v>
      </c>
      <c r="F13" s="66">
        <f>Base_Med_Tri!F13*1000/Rep_Tri!F13</f>
        <v>22174.51354</v>
      </c>
      <c r="G13" s="66">
        <f>Base_Med_Tri!G13*1000/Rep_Tri!G13</f>
        <v>21952.76841</v>
      </c>
      <c r="H13" s="66">
        <f>Base_Med_Tri!H13*1000/Rep_Tri!H13</f>
        <v>21667.38242</v>
      </c>
      <c r="I13" s="66">
        <f>Base_Med_Tri!I13*1000/Rep_Tri!I13</f>
        <v>21602.38027</v>
      </c>
      <c r="J13" s="66"/>
      <c r="K13" s="66"/>
      <c r="L13" s="66"/>
      <c r="M13" s="66"/>
      <c r="N13" s="66"/>
      <c r="P13" s="30">
        <v>2008.0</v>
      </c>
      <c r="Q13" s="66"/>
      <c r="R13" s="66"/>
      <c r="S13" s="66">
        <f>Base_Med_Tri!S13*1000/Rep_Tri!D13</f>
        <v>18898.05404</v>
      </c>
      <c r="T13" s="66">
        <f>Base_Med_Tri!T13*1000/Rep_Tri!E13</f>
        <v>19727.9626</v>
      </c>
      <c r="U13" s="66">
        <f>Base_Med_Tri!U13*1000/Rep_Tri!F13</f>
        <v>20142.24981</v>
      </c>
      <c r="V13" s="66">
        <f>Base_Med_Tri!V13*1000/Rep_Tri!G13</f>
        <v>20303.38781</v>
      </c>
      <c r="W13" s="66">
        <f>Base_Med_Tri!W13*1000/Rep_Tri!H13</f>
        <v>20425.20813</v>
      </c>
      <c r="X13" s="66">
        <f>Base_Med_Tri!X13*1000/Rep_Tri!I13</f>
        <v>20506.90897</v>
      </c>
      <c r="Y13" s="66"/>
      <c r="Z13" s="66"/>
      <c r="AA13" s="66"/>
      <c r="AB13" s="66"/>
      <c r="AC13" s="66"/>
    </row>
    <row r="14" ht="12.75" customHeight="1">
      <c r="A14" s="30">
        <v>2009.0</v>
      </c>
      <c r="B14" s="66"/>
      <c r="C14" s="66">
        <f>Base_Med_Tri!C14*1000/Rep_Tri!C14</f>
        <v>25238.26609</v>
      </c>
      <c r="D14" s="66">
        <f>Base_Med_Tri!D14*1000/Rep_Tri!D14</f>
        <v>24683.85899</v>
      </c>
      <c r="E14" s="66">
        <f>Base_Med_Tri!E14*1000/Rep_Tri!E14</f>
        <v>24757.91057</v>
      </c>
      <c r="F14" s="66">
        <f>Base_Med_Tri!F14*1000/Rep_Tri!F14</f>
        <v>24361.784</v>
      </c>
      <c r="G14" s="66">
        <f>Base_Med_Tri!G14*1000/Rep_Tri!G14</f>
        <v>24166.88973</v>
      </c>
      <c r="H14" s="66">
        <f>Base_Med_Tri!H14*1000/Rep_Tri!H14</f>
        <v>23828.55327</v>
      </c>
      <c r="I14" s="66"/>
      <c r="J14" s="66"/>
      <c r="K14" s="66"/>
      <c r="L14" s="66"/>
      <c r="M14" s="66"/>
      <c r="P14" s="30">
        <v>2009.0</v>
      </c>
      <c r="Q14" s="66"/>
      <c r="R14" s="66">
        <f>Base_Med_Tri!R14*1000/Rep_Tri!C14</f>
        <v>19358.96241</v>
      </c>
      <c r="S14" s="66">
        <f>Base_Med_Tri!S14*1000/Rep_Tri!D14</f>
        <v>21146.73605</v>
      </c>
      <c r="T14" s="66">
        <f>Base_Med_Tri!T14*1000/Rep_Tri!E14</f>
        <v>21971.45876</v>
      </c>
      <c r="U14" s="66">
        <f>Base_Med_Tri!U14*1000/Rep_Tri!F14</f>
        <v>22323.0021</v>
      </c>
      <c r="V14" s="66">
        <f>Base_Med_Tri!V14*1000/Rep_Tri!G14</f>
        <v>22456.94011</v>
      </c>
      <c r="W14" s="66">
        <f>Base_Med_Tri!W14*1000/Rep_Tri!H14</f>
        <v>22501.85399</v>
      </c>
      <c r="X14" s="66"/>
      <c r="Y14" s="66"/>
      <c r="Z14" s="66"/>
      <c r="AA14" s="66"/>
      <c r="AB14" s="66"/>
    </row>
    <row r="15" ht="12.75" customHeight="1">
      <c r="A15" s="30">
        <v>2010.0</v>
      </c>
      <c r="B15" s="66">
        <f>Base_Med_Tri!B15*1000/Rep_Tri!B15</f>
        <v>24140.72671</v>
      </c>
      <c r="C15" s="66">
        <f>Base_Med_Tri!C15*1000/Rep_Tri!C15</f>
        <v>26076.43061</v>
      </c>
      <c r="D15" s="66">
        <f>Base_Med_Tri!D15*1000/Rep_Tri!D15</f>
        <v>26172.3056</v>
      </c>
      <c r="E15" s="66">
        <f>Base_Med_Tri!E15*1000/Rep_Tri!E15</f>
        <v>25910.58255</v>
      </c>
      <c r="F15" s="66">
        <f>Base_Med_Tri!F15*1000/Rep_Tri!F15</f>
        <v>25262.81799</v>
      </c>
      <c r="G15" s="66">
        <f>Base_Med_Tri!G15*1000/Rep_Tri!G15</f>
        <v>24991.23832</v>
      </c>
      <c r="P15" s="30">
        <v>2010.0</v>
      </c>
      <c r="Q15" s="66">
        <f>Base_Med_Tri!Q15*1000/Rep_Tri!B15</f>
        <v>11837.61937</v>
      </c>
      <c r="R15" s="66">
        <f>Base_Med_Tri!R15*1000/Rep_Tri!C15</f>
        <v>19742.66787</v>
      </c>
      <c r="S15" s="66">
        <f>Base_Med_Tri!S15*1000/Rep_Tri!D15</f>
        <v>21740.38836</v>
      </c>
      <c r="T15" s="66">
        <f>Base_Med_Tri!T15*1000/Rep_Tri!E15</f>
        <v>22631.74428</v>
      </c>
      <c r="U15" s="66">
        <f>Base_Med_Tri!U15*1000/Rep_Tri!F15</f>
        <v>22971.22044</v>
      </c>
      <c r="V15" s="66">
        <f>Base_Med_Tri!V15*1000/Rep_Tri!G15</f>
        <v>23177.96143</v>
      </c>
    </row>
    <row r="16" ht="12.75" customHeight="1">
      <c r="A16" s="30">
        <v>2011.0</v>
      </c>
      <c r="B16" s="66">
        <f>Base_Med_Tri!B16*1000/Rep_Tri!B16</f>
        <v>24607.63859</v>
      </c>
      <c r="C16" s="66">
        <f>Base_Med_Tri!C16*1000/Rep_Tri!C16</f>
        <v>26642.28846</v>
      </c>
      <c r="D16" s="66">
        <f>Base_Med_Tri!D16*1000/Rep_Tri!D16</f>
        <v>26030.61149</v>
      </c>
      <c r="E16" s="66">
        <f>Base_Med_Tri!E16*1000/Rep_Tri!E16</f>
        <v>25353.81559</v>
      </c>
      <c r="F16" s="66">
        <f>Base_Med_Tri!F16*1000/Rep_Tri!F16</f>
        <v>25252.40033</v>
      </c>
      <c r="N16" s="65"/>
      <c r="O16" s="65"/>
      <c r="P16" s="30">
        <v>2011.0</v>
      </c>
      <c r="Q16" s="66">
        <f>Base_Med_Tri!Q16*1000/Rep_Tri!B16</f>
        <v>11977.08701</v>
      </c>
      <c r="R16" s="66">
        <f>Base_Med_Tri!R16*1000/Rep_Tri!C16</f>
        <v>20092.79097</v>
      </c>
      <c r="S16" s="66">
        <f>Base_Med_Tri!S16*1000/Rep_Tri!D16</f>
        <v>21760.66882</v>
      </c>
      <c r="T16" s="66">
        <f>Base_Med_Tri!T16*1000/Rep_Tri!E16</f>
        <v>22565.81356</v>
      </c>
      <c r="U16" s="66">
        <f>Base_Med_Tri!U16*1000/Rep_Tri!F16</f>
        <v>22971.99821</v>
      </c>
      <c r="AC16" s="65"/>
    </row>
    <row r="17" ht="12.75" customHeight="1">
      <c r="A17" s="30">
        <v>2012.0</v>
      </c>
      <c r="B17" s="66">
        <f>Base_Med_Tri!B17*1000/Rep_Tri!B17</f>
        <v>24142.60032</v>
      </c>
      <c r="C17" s="66">
        <f>Base_Med_Tri!C17*1000/Rep_Tri!C17</f>
        <v>29903.87483</v>
      </c>
      <c r="D17" s="66">
        <f>Base_Med_Tri!D17*1000/Rep_Tri!D17</f>
        <v>30997.42705</v>
      </c>
      <c r="E17" s="66">
        <f>Base_Med_Tri!E17*1000/Rep_Tri!E17</f>
        <v>30316.72645</v>
      </c>
      <c r="N17" s="65"/>
      <c r="O17" s="65"/>
      <c r="P17" s="30">
        <v>2012.0</v>
      </c>
      <c r="Q17" s="66">
        <f>Base_Med_Tri!Q17*1000/Rep_Tri!B17</f>
        <v>11962.65305</v>
      </c>
      <c r="R17" s="66">
        <f>Base_Med_Tri!R17*1000/Rep_Tri!C17</f>
        <v>22274.60308</v>
      </c>
      <c r="S17" s="66">
        <f>Base_Med_Tri!S17*1000/Rep_Tri!D17</f>
        <v>24793.59723</v>
      </c>
      <c r="T17" s="66">
        <f>Base_Med_Tri!T17*1000/Rep_Tri!E17</f>
        <v>27142.0027</v>
      </c>
      <c r="AC17" s="65"/>
    </row>
    <row r="18" ht="12.75" customHeight="1">
      <c r="A18" s="30">
        <v>2013.0</v>
      </c>
      <c r="B18" s="66">
        <f>Base_Med_Tri!B18*1000/Rep_Tri!B18</f>
        <v>24375.75209</v>
      </c>
      <c r="C18" s="66">
        <f>Base_Med_Tri!C18*1000/Rep_Tri!C18</f>
        <v>26567.72252</v>
      </c>
      <c r="D18" s="66">
        <f>Base_Med_Tri!D18*1000/Rep_Tri!D18</f>
        <v>26816.69266</v>
      </c>
      <c r="N18" s="65"/>
      <c r="O18" s="65"/>
      <c r="P18" s="30">
        <v>2013.0</v>
      </c>
      <c r="Q18" s="66">
        <f>Base_Med_Tri!Q18*1000/Rep_Tri!B18</f>
        <v>11838.1654</v>
      </c>
      <c r="R18" s="66">
        <f>Base_Med_Tri!R18*1000/Rep_Tri!C18</f>
        <v>20537.50072</v>
      </c>
      <c r="S18" s="66">
        <f>Base_Med_Tri!S18*1000/Rep_Tri!D18</f>
        <v>22487.76443</v>
      </c>
      <c r="AC18" s="65"/>
    </row>
    <row r="19" ht="12.75" customHeight="1">
      <c r="A19" s="30">
        <v>2014.0</v>
      </c>
      <c r="B19" s="66">
        <f>Base_Med_Tri!B19*1000/Rep_Tri!B19</f>
        <v>24406.99205</v>
      </c>
      <c r="C19" s="66">
        <f>Base_Med_Tri!C19*1000/Rep_Tri!C19</f>
        <v>28907.97746</v>
      </c>
      <c r="D19" s="65"/>
      <c r="N19" s="65"/>
      <c r="O19" s="65"/>
      <c r="P19" s="30">
        <v>2014.0</v>
      </c>
      <c r="Q19" s="66">
        <f>Base_Med_Tri!Q19*1000/Rep_Tri!B19</f>
        <v>12718.10498</v>
      </c>
      <c r="R19" s="66">
        <f>Base_Med_Tri!R19*1000/Rep_Tri!C19</f>
        <v>21951.60525</v>
      </c>
      <c r="S19" s="65"/>
      <c r="AC19" s="65"/>
    </row>
    <row r="20" ht="12.75" customHeight="1">
      <c r="A20" s="30">
        <v>2015.0</v>
      </c>
      <c r="B20" s="66">
        <f>Base_Med_Tri!B20*1000/Rep_Tri!B20</f>
        <v>26049.77124</v>
      </c>
      <c r="P20" s="30">
        <v>2015.0</v>
      </c>
      <c r="Q20" s="66">
        <f>Base_Med_Tri!Q20*1000/Rep_Tri!B20</f>
        <v>12953.74845</v>
      </c>
    </row>
    <row r="21" ht="12.75" customHeight="1"/>
    <row r="22" ht="12.75" customHeight="1"/>
    <row r="23" ht="12.75" customHeight="1"/>
    <row r="24" ht="12.75" customHeight="1">
      <c r="A24" s="61" t="s">
        <v>101</v>
      </c>
      <c r="B24" s="62" t="s">
        <v>151</v>
      </c>
      <c r="O24" s="62"/>
      <c r="P24" s="61" t="s">
        <v>101</v>
      </c>
      <c r="Q24" s="62" t="s">
        <v>148</v>
      </c>
    </row>
    <row r="25" ht="12.75" customHeight="1">
      <c r="A25" s="30" t="s">
        <v>101</v>
      </c>
      <c r="B25" s="62" t="str">
        <f>B3</f>
        <v>MEDICAL Reported SEVERITY</v>
      </c>
      <c r="O25" s="62"/>
      <c r="P25" s="30" t="s">
        <v>101</v>
      </c>
      <c r="Q25" s="62" t="str">
        <f>Q3</f>
        <v>MEDICAL PAID SEVERITY</v>
      </c>
      <c r="AD25" s="65"/>
      <c r="AE25" s="65"/>
      <c r="AF25" s="65"/>
      <c r="AG25" s="65"/>
      <c r="AH25" s="65"/>
    </row>
    <row r="26" ht="12.75" customHeight="1">
      <c r="A26" s="30"/>
      <c r="B26" s="30">
        <v>12.0</v>
      </c>
      <c r="C26" s="30">
        <v>24.0</v>
      </c>
      <c r="D26" s="30">
        <v>36.0</v>
      </c>
      <c r="E26" s="30">
        <v>48.0</v>
      </c>
      <c r="F26" s="30">
        <v>60.0</v>
      </c>
      <c r="G26" s="30">
        <v>72.0</v>
      </c>
      <c r="H26" s="30">
        <v>84.0</v>
      </c>
      <c r="I26" s="30">
        <v>96.0</v>
      </c>
      <c r="J26" s="30">
        <v>108.0</v>
      </c>
      <c r="K26" s="30">
        <v>120.0</v>
      </c>
      <c r="L26" s="30">
        <v>132.0</v>
      </c>
      <c r="M26" s="30">
        <v>144.0</v>
      </c>
      <c r="N26" s="30">
        <v>156.0</v>
      </c>
      <c r="O26" s="30"/>
      <c r="P26" s="30"/>
      <c r="Q26" s="30">
        <v>12.0</v>
      </c>
      <c r="R26" s="30">
        <v>24.0</v>
      </c>
      <c r="S26" s="30">
        <v>36.0</v>
      </c>
      <c r="T26" s="30">
        <v>48.0</v>
      </c>
      <c r="U26" s="30">
        <v>60.0</v>
      </c>
      <c r="V26" s="30">
        <v>72.0</v>
      </c>
      <c r="W26" s="30">
        <v>84.0</v>
      </c>
      <c r="X26" s="30">
        <v>96.0</v>
      </c>
      <c r="Y26" s="30">
        <v>108.0</v>
      </c>
      <c r="Z26" s="30">
        <v>120.0</v>
      </c>
      <c r="AA26" s="30">
        <v>132.0</v>
      </c>
      <c r="AB26" s="30">
        <v>144.0</v>
      </c>
      <c r="AC26" s="30">
        <v>156.0</v>
      </c>
      <c r="AD26" s="65"/>
      <c r="AE26" s="65"/>
      <c r="AF26" s="65"/>
      <c r="AG26" s="65"/>
      <c r="AH26" s="65"/>
    </row>
    <row r="27" ht="12.75" customHeight="1">
      <c r="A27" s="30" t="s">
        <v>74</v>
      </c>
      <c r="B27" s="30" t="s">
        <v>108</v>
      </c>
      <c r="C27" s="30" t="s">
        <v>108</v>
      </c>
      <c r="D27" s="30" t="s">
        <v>108</v>
      </c>
      <c r="E27" s="30" t="s">
        <v>108</v>
      </c>
      <c r="F27" s="30" t="s">
        <v>108</v>
      </c>
      <c r="G27" s="30" t="s">
        <v>108</v>
      </c>
      <c r="H27" s="30" t="s">
        <v>108</v>
      </c>
      <c r="I27" s="30" t="s">
        <v>108</v>
      </c>
      <c r="J27" s="30" t="s">
        <v>108</v>
      </c>
      <c r="K27" s="30" t="s">
        <v>108</v>
      </c>
      <c r="L27" s="30" t="s">
        <v>108</v>
      </c>
      <c r="M27" s="30" t="s">
        <v>108</v>
      </c>
      <c r="N27" s="30" t="s">
        <v>108</v>
      </c>
      <c r="O27" s="30"/>
      <c r="P27" s="30" t="s">
        <v>74</v>
      </c>
      <c r="Q27" s="30" t="s">
        <v>108</v>
      </c>
      <c r="R27" s="30" t="s">
        <v>108</v>
      </c>
      <c r="S27" s="30" t="s">
        <v>108</v>
      </c>
      <c r="T27" s="30" t="s">
        <v>108</v>
      </c>
      <c r="U27" s="30" t="s">
        <v>108</v>
      </c>
      <c r="V27" s="30" t="s">
        <v>108</v>
      </c>
      <c r="W27" s="30" t="s">
        <v>108</v>
      </c>
      <c r="X27" s="30" t="s">
        <v>108</v>
      </c>
      <c r="Y27" s="30" t="s">
        <v>108</v>
      </c>
      <c r="Z27" s="30" t="s">
        <v>108</v>
      </c>
      <c r="AA27" s="30" t="s">
        <v>108</v>
      </c>
      <c r="AB27" s="30" t="s">
        <v>108</v>
      </c>
      <c r="AC27" s="30" t="s">
        <v>108</v>
      </c>
      <c r="AD27" s="65"/>
      <c r="AE27" s="65"/>
      <c r="AF27" s="65"/>
      <c r="AG27" s="65"/>
      <c r="AH27" s="65"/>
    </row>
    <row r="28" ht="12.75" customHeight="1">
      <c r="A28" s="63" t="s">
        <v>84</v>
      </c>
      <c r="B28" s="67">
        <v>24.0</v>
      </c>
      <c r="C28" s="67">
        <v>36.0</v>
      </c>
      <c r="D28" s="67">
        <v>48.0</v>
      </c>
      <c r="E28" s="67">
        <v>60.0</v>
      </c>
      <c r="F28" s="67">
        <v>72.0</v>
      </c>
      <c r="G28" s="67">
        <v>84.0</v>
      </c>
      <c r="H28" s="67">
        <v>96.0</v>
      </c>
      <c r="I28" s="67">
        <v>108.0</v>
      </c>
      <c r="J28" s="67">
        <v>120.0</v>
      </c>
      <c r="K28" s="67">
        <v>132.0</v>
      </c>
      <c r="L28" s="67">
        <v>144.0</v>
      </c>
      <c r="M28" s="67">
        <v>156.0</v>
      </c>
      <c r="N28" s="67" t="s">
        <v>77</v>
      </c>
      <c r="O28" s="67"/>
      <c r="P28" s="63" t="s">
        <v>84</v>
      </c>
      <c r="Q28" s="67">
        <v>24.0</v>
      </c>
      <c r="R28" s="67">
        <v>36.0</v>
      </c>
      <c r="S28" s="67">
        <v>48.0</v>
      </c>
      <c r="T28" s="67">
        <v>60.0</v>
      </c>
      <c r="U28" s="67">
        <v>72.0</v>
      </c>
      <c r="V28" s="67">
        <v>84.0</v>
      </c>
      <c r="W28" s="67">
        <v>96.0</v>
      </c>
      <c r="X28" s="67">
        <v>108.0</v>
      </c>
      <c r="Y28" s="67">
        <v>120.0</v>
      </c>
      <c r="Z28" s="67">
        <v>132.0</v>
      </c>
      <c r="AA28" s="67">
        <v>144.0</v>
      </c>
      <c r="AB28" s="67">
        <v>156.0</v>
      </c>
      <c r="AC28" s="67" t="s">
        <v>77</v>
      </c>
      <c r="AD28" s="65"/>
      <c r="AE28" s="65"/>
      <c r="AF28" s="65"/>
      <c r="AG28" s="65"/>
      <c r="AH28" s="65"/>
    </row>
    <row r="29" ht="12.75" customHeight="1">
      <c r="A29" s="63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3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5"/>
      <c r="AE29" s="65"/>
      <c r="AF29" s="65"/>
      <c r="AG29" s="65"/>
      <c r="AH29" s="65"/>
    </row>
    <row r="30" ht="12.75" customHeight="1">
      <c r="A30" s="30">
        <f t="shared" ref="A30:A41" si="3">A8</f>
        <v>2003</v>
      </c>
      <c r="B30" s="65"/>
      <c r="C30" s="65"/>
      <c r="D30" s="65"/>
      <c r="E30" s="65"/>
      <c r="F30" s="65"/>
      <c r="G30" s="65"/>
      <c r="H30" s="65"/>
      <c r="I30" s="65">
        <f t="shared" ref="I30:M30" si="1">J8/I8</f>
        <v>1.057369188</v>
      </c>
      <c r="J30" s="65">
        <f t="shared" si="1"/>
        <v>1.037550637</v>
      </c>
      <c r="K30" s="65">
        <f t="shared" si="1"/>
        <v>0.9891276367</v>
      </c>
      <c r="L30" s="65">
        <f t="shared" si="1"/>
        <v>1.020102095</v>
      </c>
      <c r="M30" s="65">
        <f t="shared" si="1"/>
        <v>0.9900990099</v>
      </c>
      <c r="N30" s="65"/>
      <c r="O30" s="65"/>
      <c r="P30" s="30">
        <f t="shared" ref="P30:P41" si="5">P8</f>
        <v>2003</v>
      </c>
      <c r="Q30" s="65"/>
      <c r="R30" s="65"/>
      <c r="S30" s="65"/>
      <c r="T30" s="65"/>
      <c r="U30" s="65"/>
      <c r="V30" s="65"/>
      <c r="W30" s="65"/>
      <c r="X30" s="65">
        <f t="shared" ref="X30:AB30" si="2">Y8/X8</f>
        <v>1.039171519</v>
      </c>
      <c r="Y30" s="65">
        <f t="shared" si="2"/>
        <v>1.036589706</v>
      </c>
      <c r="Z30" s="65">
        <f t="shared" si="2"/>
        <v>1.01040561</v>
      </c>
      <c r="AA30" s="65">
        <f t="shared" si="2"/>
        <v>1.033563458</v>
      </c>
      <c r="AB30" s="65">
        <f t="shared" si="2"/>
        <v>1.024949069</v>
      </c>
      <c r="AC30" s="65"/>
      <c r="AD30" s="65"/>
      <c r="AE30" s="65"/>
      <c r="AF30" s="65"/>
      <c r="AG30" s="65"/>
      <c r="AH30" s="65"/>
      <c r="AI30" s="65"/>
      <c r="AJ30" s="65"/>
      <c r="AK30" s="65"/>
    </row>
    <row r="31" ht="12.75" customHeight="1">
      <c r="A31" s="30">
        <f t="shared" si="3"/>
        <v>2004</v>
      </c>
      <c r="B31" s="65"/>
      <c r="C31" s="65"/>
      <c r="D31" s="65"/>
      <c r="E31" s="65"/>
      <c r="F31" s="65"/>
      <c r="G31" s="65"/>
      <c r="H31" s="65">
        <f t="shared" ref="H31:L31" si="4">I9/H9</f>
        <v>1.004</v>
      </c>
      <c r="I31" s="65">
        <f t="shared" si="4"/>
        <v>1.030497016</v>
      </c>
      <c r="J31" s="65">
        <f t="shared" si="4"/>
        <v>0.9975580735</v>
      </c>
      <c r="K31" s="65">
        <f t="shared" si="4"/>
        <v>1.021505235</v>
      </c>
      <c r="L31" s="65">
        <f t="shared" si="4"/>
        <v>0.9913458812</v>
      </c>
      <c r="M31" s="65"/>
      <c r="N31" s="65"/>
      <c r="O31" s="65"/>
      <c r="P31" s="30">
        <f t="shared" si="5"/>
        <v>2004</v>
      </c>
      <c r="Q31" s="65"/>
      <c r="R31" s="65"/>
      <c r="S31" s="65"/>
      <c r="T31" s="65"/>
      <c r="U31" s="65"/>
      <c r="V31" s="65"/>
      <c r="W31" s="65">
        <f t="shared" ref="W31:AA31" si="6">X9/W9</f>
        <v>1.003</v>
      </c>
      <c r="X31" s="65">
        <f t="shared" si="6"/>
        <v>1.026235574</v>
      </c>
      <c r="Y31" s="65">
        <f t="shared" si="6"/>
        <v>1.003414893</v>
      </c>
      <c r="Z31" s="65">
        <f t="shared" si="6"/>
        <v>1.025396023</v>
      </c>
      <c r="AA31" s="65">
        <f t="shared" si="6"/>
        <v>1.010191449</v>
      </c>
      <c r="AB31" s="65"/>
      <c r="AC31" s="65"/>
      <c r="AE31" s="65"/>
      <c r="AF31" s="65"/>
      <c r="AG31" s="65"/>
      <c r="AH31" s="65"/>
      <c r="AI31" s="65"/>
      <c r="AJ31" s="65"/>
      <c r="AK31" s="65"/>
    </row>
    <row r="32" ht="12.75" customHeight="1">
      <c r="A32" s="30">
        <f t="shared" si="3"/>
        <v>2005</v>
      </c>
      <c r="B32" s="65"/>
      <c r="C32" s="65"/>
      <c r="D32" s="65"/>
      <c r="E32" s="65"/>
      <c r="F32" s="65"/>
      <c r="G32" s="65">
        <f t="shared" ref="G32:K32" si="7">H10/G10</f>
        <v>0.989</v>
      </c>
      <c r="H32" s="65">
        <f t="shared" si="7"/>
        <v>0.994</v>
      </c>
      <c r="I32" s="65">
        <f t="shared" si="7"/>
        <v>1.041619268</v>
      </c>
      <c r="J32" s="65">
        <f t="shared" si="7"/>
        <v>1.057183401</v>
      </c>
      <c r="K32" s="65">
        <f t="shared" si="7"/>
        <v>1.004753325</v>
      </c>
      <c r="L32" s="65"/>
      <c r="M32" s="65"/>
      <c r="N32" s="65"/>
      <c r="O32" s="65"/>
      <c r="P32" s="30">
        <f t="shared" si="5"/>
        <v>2005</v>
      </c>
      <c r="Q32" s="65"/>
      <c r="R32" s="65"/>
      <c r="S32" s="65"/>
      <c r="T32" s="65"/>
      <c r="U32" s="65"/>
      <c r="V32" s="65">
        <f t="shared" ref="V32:Z32" si="8">W10/V10</f>
        <v>1.005</v>
      </c>
      <c r="W32" s="65">
        <f t="shared" si="8"/>
        <v>1.005</v>
      </c>
      <c r="X32" s="65">
        <f t="shared" si="8"/>
        <v>1.018946992</v>
      </c>
      <c r="Y32" s="65">
        <f t="shared" si="8"/>
        <v>1.042146974</v>
      </c>
      <c r="Z32" s="65">
        <f t="shared" si="8"/>
        <v>1.025534857</v>
      </c>
      <c r="AA32" s="65"/>
      <c r="AB32" s="65"/>
      <c r="AC32" s="65"/>
      <c r="AE32" s="65"/>
      <c r="AF32" s="65"/>
      <c r="AG32" s="65"/>
      <c r="AH32" s="65"/>
      <c r="AI32" s="65"/>
      <c r="AJ32" s="65"/>
      <c r="AK32" s="65"/>
    </row>
    <row r="33" ht="12.75" customHeight="1">
      <c r="A33" s="30">
        <f t="shared" si="3"/>
        <v>2006</v>
      </c>
      <c r="B33" s="65"/>
      <c r="C33" s="65"/>
      <c r="D33" s="65"/>
      <c r="E33" s="65"/>
      <c r="F33" s="65">
        <f t="shared" ref="F33:J33" si="9">G11/F11</f>
        <v>0.994</v>
      </c>
      <c r="G33" s="65">
        <f t="shared" si="9"/>
        <v>0.985</v>
      </c>
      <c r="H33" s="65">
        <f t="shared" si="9"/>
        <v>1.011</v>
      </c>
      <c r="I33" s="65">
        <f t="shared" si="9"/>
        <v>1.030001942</v>
      </c>
      <c r="J33" s="65">
        <f t="shared" si="9"/>
        <v>1.007271328</v>
      </c>
      <c r="K33" s="65"/>
      <c r="L33" s="65"/>
      <c r="M33" s="65"/>
      <c r="N33" s="65"/>
      <c r="O33" s="65"/>
      <c r="P33" s="30">
        <f t="shared" si="5"/>
        <v>2006</v>
      </c>
      <c r="Q33" s="65"/>
      <c r="R33" s="65"/>
      <c r="S33" s="65"/>
      <c r="T33" s="65"/>
      <c r="U33" s="65">
        <f t="shared" ref="U33:Y33" si="10">V11/U11</f>
        <v>1.016</v>
      </c>
      <c r="V33" s="65">
        <f t="shared" si="10"/>
        <v>1.006</v>
      </c>
      <c r="W33" s="65">
        <f t="shared" si="10"/>
        <v>1.008</v>
      </c>
      <c r="X33" s="65">
        <f t="shared" si="10"/>
        <v>1.021260116</v>
      </c>
      <c r="Y33" s="65">
        <f t="shared" si="10"/>
        <v>1.008636439</v>
      </c>
      <c r="Z33" s="65"/>
      <c r="AA33" s="65"/>
      <c r="AB33" s="65"/>
      <c r="AC33" s="65"/>
      <c r="AE33" s="65"/>
      <c r="AF33" s="65"/>
      <c r="AG33" s="65"/>
      <c r="AH33" s="65"/>
      <c r="AI33" s="65"/>
      <c r="AJ33" s="65"/>
      <c r="AK33" s="65"/>
    </row>
    <row r="34" ht="12.75" customHeight="1">
      <c r="A34" s="30">
        <f t="shared" si="3"/>
        <v>2007</v>
      </c>
      <c r="B34" s="65"/>
      <c r="C34" s="65"/>
      <c r="D34" s="65"/>
      <c r="E34" s="65">
        <f t="shared" ref="E34:I34" si="11">F12/E12</f>
        <v>0.986</v>
      </c>
      <c r="F34" s="65">
        <f t="shared" si="11"/>
        <v>0.989</v>
      </c>
      <c r="G34" s="65">
        <f t="shared" si="11"/>
        <v>0.983</v>
      </c>
      <c r="H34" s="65">
        <f t="shared" si="11"/>
        <v>0.997</v>
      </c>
      <c r="I34" s="65">
        <f t="shared" si="11"/>
        <v>1.016857906</v>
      </c>
      <c r="J34" s="65"/>
      <c r="K34" s="65"/>
      <c r="L34" s="65"/>
      <c r="M34" s="65"/>
      <c r="N34" s="65"/>
      <c r="O34" s="65"/>
      <c r="P34" s="30">
        <f t="shared" si="5"/>
        <v>2007</v>
      </c>
      <c r="Q34" s="65"/>
      <c r="R34" s="65"/>
      <c r="S34" s="65"/>
      <c r="T34" s="65">
        <f t="shared" ref="T34:X34" si="12">U12/T12</f>
        <v>1.022</v>
      </c>
      <c r="U34" s="65">
        <f t="shared" si="12"/>
        <v>1.009</v>
      </c>
      <c r="V34" s="65">
        <f t="shared" si="12"/>
        <v>1.003</v>
      </c>
      <c r="W34" s="65">
        <f t="shared" si="12"/>
        <v>1.003</v>
      </c>
      <c r="X34" s="65">
        <f t="shared" si="12"/>
        <v>1.015887115</v>
      </c>
      <c r="Y34" s="65"/>
      <c r="Z34" s="65"/>
      <c r="AA34" s="65"/>
      <c r="AB34" s="65"/>
      <c r="AC34" s="65"/>
      <c r="AE34" s="65"/>
      <c r="AF34" s="65"/>
      <c r="AG34" s="65"/>
      <c r="AH34" s="65"/>
      <c r="AI34" s="65"/>
      <c r="AJ34" s="65"/>
      <c r="AK34" s="65"/>
    </row>
    <row r="35" ht="12.75" customHeight="1">
      <c r="A35" s="30">
        <f t="shared" si="3"/>
        <v>2008</v>
      </c>
      <c r="B35" s="65"/>
      <c r="C35" s="65"/>
      <c r="D35" s="65">
        <f t="shared" ref="D35:H35" si="13">E13/D13</f>
        <v>0.9891816367</v>
      </c>
      <c r="E35" s="65">
        <f t="shared" si="13"/>
        <v>0.984</v>
      </c>
      <c r="F35" s="65">
        <f t="shared" si="13"/>
        <v>0.99</v>
      </c>
      <c r="G35" s="65">
        <f t="shared" si="13"/>
        <v>0.987</v>
      </c>
      <c r="H35" s="65">
        <f t="shared" si="13"/>
        <v>0.997</v>
      </c>
      <c r="I35" s="65"/>
      <c r="J35" s="65"/>
      <c r="K35" s="65"/>
      <c r="L35" s="65"/>
      <c r="M35" s="65"/>
      <c r="N35" s="65"/>
      <c r="P35" s="30">
        <f t="shared" si="5"/>
        <v>2008</v>
      </c>
      <c r="Q35" s="65"/>
      <c r="R35" s="65"/>
      <c r="S35" s="65">
        <f t="shared" ref="S35:W35" si="14">T13/S13</f>
        <v>1.043915027</v>
      </c>
      <c r="T35" s="65">
        <f t="shared" si="14"/>
        <v>1.021</v>
      </c>
      <c r="U35" s="65">
        <f t="shared" si="14"/>
        <v>1.008</v>
      </c>
      <c r="V35" s="65">
        <f t="shared" si="14"/>
        <v>1.006</v>
      </c>
      <c r="W35" s="65">
        <f t="shared" si="14"/>
        <v>1.004</v>
      </c>
      <c r="X35" s="65"/>
      <c r="Y35" s="65"/>
      <c r="Z35" s="65"/>
      <c r="AA35" s="65"/>
      <c r="AB35" s="65"/>
      <c r="AC35" s="65"/>
      <c r="AE35" s="65"/>
      <c r="AF35" s="65"/>
      <c r="AG35" s="65"/>
      <c r="AH35" s="65"/>
      <c r="AI35" s="65"/>
      <c r="AJ35" s="65"/>
      <c r="AK35" s="65"/>
    </row>
    <row r="36" ht="12.75" customHeight="1">
      <c r="A36" s="30">
        <f t="shared" si="3"/>
        <v>2009</v>
      </c>
      <c r="B36" s="65"/>
      <c r="C36" s="65">
        <f t="shared" ref="C36:G36" si="15">D14/C14</f>
        <v>0.9780330751</v>
      </c>
      <c r="D36" s="65">
        <f t="shared" si="15"/>
        <v>1.003</v>
      </c>
      <c r="E36" s="65">
        <f t="shared" si="15"/>
        <v>0.984</v>
      </c>
      <c r="F36" s="65">
        <f t="shared" si="15"/>
        <v>0.992</v>
      </c>
      <c r="G36" s="65">
        <f t="shared" si="15"/>
        <v>0.986</v>
      </c>
      <c r="H36" s="65"/>
      <c r="I36" s="65"/>
      <c r="J36" s="65"/>
      <c r="K36" s="65"/>
      <c r="L36" s="65"/>
      <c r="M36" s="65"/>
      <c r="N36" s="65"/>
      <c r="P36" s="30">
        <f t="shared" si="5"/>
        <v>2009</v>
      </c>
      <c r="Q36" s="65"/>
      <c r="R36" s="65">
        <f t="shared" ref="R36:V36" si="16">S14/R14</f>
        <v>1.092348629</v>
      </c>
      <c r="S36" s="65">
        <f t="shared" si="16"/>
        <v>1.039</v>
      </c>
      <c r="T36" s="65">
        <f t="shared" si="16"/>
        <v>1.016</v>
      </c>
      <c r="U36" s="65">
        <f t="shared" si="16"/>
        <v>1.006</v>
      </c>
      <c r="V36" s="65">
        <f t="shared" si="16"/>
        <v>1.002</v>
      </c>
      <c r="W36" s="65"/>
      <c r="X36" s="65"/>
      <c r="Y36" s="65"/>
      <c r="Z36" s="65"/>
      <c r="AA36" s="65"/>
      <c r="AB36" s="65"/>
      <c r="AC36" s="65"/>
      <c r="AE36" s="65"/>
      <c r="AF36" s="65"/>
      <c r="AG36" s="65"/>
      <c r="AH36" s="65"/>
      <c r="AI36" s="65"/>
      <c r="AJ36" s="65"/>
      <c r="AK36" s="65"/>
    </row>
    <row r="37" ht="12.75" customHeight="1">
      <c r="A37" s="30">
        <f t="shared" si="3"/>
        <v>2010</v>
      </c>
      <c r="B37" s="65">
        <f t="shared" ref="B37:F37" si="17">C15/B15</f>
        <v>1.08018416</v>
      </c>
      <c r="C37" s="65">
        <f t="shared" si="17"/>
        <v>1.003676692</v>
      </c>
      <c r="D37" s="65">
        <f t="shared" si="17"/>
        <v>0.99</v>
      </c>
      <c r="E37" s="65">
        <f t="shared" si="17"/>
        <v>0.975</v>
      </c>
      <c r="F37" s="65">
        <f t="shared" si="17"/>
        <v>0.9892498268</v>
      </c>
      <c r="G37" s="65"/>
      <c r="H37" s="65"/>
      <c r="I37" s="65"/>
      <c r="J37" s="65"/>
      <c r="K37" s="65"/>
      <c r="L37" s="65"/>
      <c r="M37" s="65"/>
      <c r="N37" s="65"/>
      <c r="P37" s="30">
        <f t="shared" si="5"/>
        <v>2010</v>
      </c>
      <c r="Q37" s="65">
        <f t="shared" ref="Q37:U37" si="18">R15/Q15</f>
        <v>1.667790394</v>
      </c>
      <c r="R37" s="65">
        <f t="shared" si="18"/>
        <v>1.10118797</v>
      </c>
      <c r="S37" s="65">
        <f t="shared" si="18"/>
        <v>1.041</v>
      </c>
      <c r="T37" s="65">
        <f t="shared" si="18"/>
        <v>1.015</v>
      </c>
      <c r="U37" s="65">
        <f t="shared" si="18"/>
        <v>1.009</v>
      </c>
      <c r="V37" s="65"/>
      <c r="W37" s="65"/>
      <c r="X37" s="65"/>
      <c r="Y37" s="65"/>
      <c r="Z37" s="65"/>
      <c r="AA37" s="65"/>
      <c r="AB37" s="65"/>
      <c r="AC37" s="65"/>
      <c r="AE37" s="65"/>
      <c r="AF37" s="65"/>
      <c r="AG37" s="65"/>
      <c r="AH37" s="65"/>
      <c r="AI37" s="65"/>
      <c r="AJ37" s="65"/>
      <c r="AK37" s="65"/>
    </row>
    <row r="38" ht="12.75" customHeight="1">
      <c r="A38" s="30">
        <f t="shared" si="3"/>
        <v>2011</v>
      </c>
      <c r="B38" s="65">
        <f t="shared" ref="B38:E38" si="19">C16/B16</f>
        <v>1.08268367</v>
      </c>
      <c r="C38" s="65">
        <f t="shared" si="19"/>
        <v>0.9770411249</v>
      </c>
      <c r="D38" s="65">
        <f t="shared" si="19"/>
        <v>0.974</v>
      </c>
      <c r="E38" s="65">
        <f t="shared" si="19"/>
        <v>0.996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30">
        <f t="shared" si="5"/>
        <v>2011</v>
      </c>
      <c r="Q38" s="65">
        <f t="shared" ref="Q38:T38" si="20">R16/Q16</f>
        <v>1.677602488</v>
      </c>
      <c r="R38" s="65">
        <f t="shared" si="20"/>
        <v>1.083008769</v>
      </c>
      <c r="S38" s="65">
        <f t="shared" si="20"/>
        <v>1.037</v>
      </c>
      <c r="T38" s="65">
        <f t="shared" si="20"/>
        <v>1.018</v>
      </c>
      <c r="U38" s="65"/>
      <c r="V38" s="65"/>
      <c r="W38" s="65"/>
      <c r="X38" s="65"/>
      <c r="Y38" s="65"/>
      <c r="Z38" s="65"/>
      <c r="AA38" s="65"/>
      <c r="AB38" s="65"/>
      <c r="AC38" s="65"/>
      <c r="AE38" s="65"/>
      <c r="AF38" s="65"/>
      <c r="AG38" s="65"/>
      <c r="AH38" s="65"/>
      <c r="AI38" s="65"/>
      <c r="AJ38" s="65"/>
      <c r="AK38" s="65"/>
    </row>
    <row r="39" ht="12.75" customHeight="1">
      <c r="A39" s="30">
        <f t="shared" si="3"/>
        <v>2012</v>
      </c>
      <c r="B39" s="65">
        <f t="shared" ref="B39:D39" si="21">C17/B17</f>
        <v>1.23863521</v>
      </c>
      <c r="C39" s="65">
        <f t="shared" si="21"/>
        <v>1.036568914</v>
      </c>
      <c r="D39" s="65">
        <f t="shared" si="21"/>
        <v>0.9780400936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30">
        <f t="shared" si="5"/>
        <v>2012</v>
      </c>
      <c r="Q39" s="65">
        <f t="shared" ref="Q39:S39" si="22">R17/Q17</f>
        <v>1.862011963</v>
      </c>
      <c r="R39" s="65">
        <f t="shared" si="22"/>
        <v>1.113088172</v>
      </c>
      <c r="S39" s="65">
        <f t="shared" si="22"/>
        <v>1.094718223</v>
      </c>
      <c r="T39" s="65"/>
      <c r="U39" s="65"/>
      <c r="V39" s="65"/>
      <c r="W39" s="65"/>
      <c r="X39" s="65"/>
      <c r="Y39" s="65"/>
      <c r="Z39" s="65"/>
      <c r="AA39" s="65"/>
      <c r="AB39" s="65"/>
      <c r="AC39" s="65"/>
      <c r="AE39" s="65"/>
      <c r="AF39" s="65"/>
      <c r="AG39" s="65"/>
      <c r="AH39" s="65"/>
      <c r="AI39" s="65"/>
      <c r="AJ39" s="65"/>
      <c r="AK39" s="65"/>
    </row>
    <row r="40" ht="12.75" customHeight="1">
      <c r="A40" s="30">
        <f t="shared" si="3"/>
        <v>2013</v>
      </c>
      <c r="B40" s="65">
        <f t="shared" ref="B40:C40" si="23">C18/B18</f>
        <v>1.089924217</v>
      </c>
      <c r="C40" s="65">
        <f t="shared" si="23"/>
        <v>1.009371151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30">
        <f t="shared" si="5"/>
        <v>2013</v>
      </c>
      <c r="Q40" s="65">
        <f t="shared" ref="Q40:R40" si="24">R18/Q18</f>
        <v>1.734855025</v>
      </c>
      <c r="R40" s="65">
        <f t="shared" si="24"/>
        <v>1.094961102</v>
      </c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E40" s="65"/>
      <c r="AF40" s="65"/>
      <c r="AG40" s="65"/>
      <c r="AH40" s="65"/>
      <c r="AI40" s="65"/>
      <c r="AJ40" s="65"/>
      <c r="AK40" s="65"/>
    </row>
    <row r="41" ht="12.75" customHeight="1">
      <c r="A41" s="30">
        <f t="shared" si="3"/>
        <v>2014</v>
      </c>
      <c r="B41" s="65">
        <f>C19/B19</f>
        <v>1.18441377</v>
      </c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30">
        <f t="shared" si="5"/>
        <v>2014</v>
      </c>
      <c r="Q41" s="65">
        <f>R19/Q19</f>
        <v>1.72601227</v>
      </c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E41" s="65"/>
      <c r="AF41" s="65"/>
      <c r="AG41" s="65"/>
      <c r="AH41" s="65"/>
      <c r="AI41" s="65"/>
      <c r="AJ41" s="65"/>
      <c r="AK41" s="65"/>
    </row>
    <row r="42" ht="12.75" customHeight="1">
      <c r="B42" s="30"/>
      <c r="C42" s="30"/>
      <c r="H42" s="30"/>
      <c r="I42" s="30"/>
      <c r="J42" s="30"/>
      <c r="K42" s="30"/>
      <c r="L42" s="30"/>
      <c r="M42" s="30"/>
      <c r="N42" s="30"/>
      <c r="O42" s="30"/>
      <c r="Q42" s="30"/>
      <c r="R42" s="30"/>
      <c r="W42" s="30"/>
      <c r="X42" s="30"/>
      <c r="Y42" s="30"/>
      <c r="Z42" s="30"/>
      <c r="AA42" s="30"/>
      <c r="AB42" s="30"/>
      <c r="AC42" s="65"/>
    </row>
    <row r="43" ht="12.75" customHeight="1">
      <c r="A43" s="68" t="s">
        <v>143</v>
      </c>
      <c r="P43" s="68" t="s">
        <v>143</v>
      </c>
    </row>
    <row r="44" ht="12.75" customHeight="1">
      <c r="A44" s="69" t="s">
        <v>110</v>
      </c>
      <c r="B44" s="65">
        <f>AVERAGE(B40:B41)</f>
        <v>1.137168994</v>
      </c>
      <c r="C44" s="65">
        <f>AVERAGE(C39:C40)</f>
        <v>1.022970032</v>
      </c>
      <c r="D44" s="65">
        <f>AVERAGE(D38:D39)</f>
        <v>0.9760200468</v>
      </c>
      <c r="E44" s="65">
        <f>AVERAGE(E37:E38)</f>
        <v>0.9855</v>
      </c>
      <c r="F44" s="65">
        <f>AVERAGE(F36:F37)</f>
        <v>0.9906249134</v>
      </c>
      <c r="G44" s="65">
        <f>AVERAGE(G35:G36)</f>
        <v>0.9865</v>
      </c>
      <c r="H44" s="65">
        <f t="shared" ref="H44:I44" si="25">AVERAGE(H34:H35)</f>
        <v>0.997</v>
      </c>
      <c r="I44" s="65">
        <f t="shared" si="25"/>
        <v>1.016857906</v>
      </c>
      <c r="J44" s="65">
        <f>AVERAGE(J32:J33)</f>
        <v>1.032227365</v>
      </c>
      <c r="K44" s="65">
        <f>AVERAGE(K31:K32)</f>
        <v>1.01312928</v>
      </c>
      <c r="L44" s="65">
        <f>AVERAGE(L30:L31)</f>
        <v>1.005723988</v>
      </c>
      <c r="M44" s="70">
        <f>M$48</f>
        <v>0.9900990099</v>
      </c>
      <c r="N44" s="70"/>
      <c r="O44" s="65"/>
      <c r="P44" s="69" t="s">
        <v>110</v>
      </c>
      <c r="Q44" s="65">
        <f>AVERAGE(Q40:Q41)</f>
        <v>1.730433647</v>
      </c>
      <c r="R44" s="65">
        <f>AVERAGE(R39:R40)</f>
        <v>1.104024637</v>
      </c>
      <c r="S44" s="65">
        <f>AVERAGE(S38:S39)</f>
        <v>1.065859112</v>
      </c>
      <c r="T44" s="65">
        <f>AVERAGE(T37:T38)</f>
        <v>1.0165</v>
      </c>
      <c r="U44" s="65">
        <f>AVERAGE(U36:U37)</f>
        <v>1.0075</v>
      </c>
      <c r="V44" s="65">
        <f>AVERAGE(V35:V36)</f>
        <v>1.004</v>
      </c>
      <c r="W44" s="65">
        <f t="shared" ref="W44:X44" si="26">AVERAGE(W34:W35)</f>
        <v>1.0035</v>
      </c>
      <c r="X44" s="65">
        <f t="shared" si="26"/>
        <v>1.015887115</v>
      </c>
      <c r="Y44" s="65">
        <f>AVERAGE(Y32:Y33)</f>
        <v>1.025391707</v>
      </c>
      <c r="Z44" s="65">
        <f>AVERAGE(Z31:Z32)</f>
        <v>1.02546544</v>
      </c>
      <c r="AA44" s="65">
        <f>AVERAGE(AA30:AA31)</f>
        <v>1.021877454</v>
      </c>
      <c r="AB44" s="70">
        <f>AB$48</f>
        <v>1.024949069</v>
      </c>
      <c r="AC44" s="70"/>
    </row>
    <row r="45" ht="12.75" customHeight="1">
      <c r="A45" s="69" t="s">
        <v>111</v>
      </c>
      <c r="B45" s="65">
        <f>AVERAGE(B39:B41)</f>
        <v>1.170991066</v>
      </c>
      <c r="C45" s="65">
        <f>AVERAGE(C38:C40)</f>
        <v>1.007660397</v>
      </c>
      <c r="D45" s="65">
        <f>AVERAGE(D37:D39)</f>
        <v>0.9806800312</v>
      </c>
      <c r="E45" s="65">
        <f>AVERAGE(E36:E38)</f>
        <v>0.985</v>
      </c>
      <c r="F45" s="65">
        <f>AVERAGE(F35:F37)</f>
        <v>0.9904166089</v>
      </c>
      <c r="G45" s="65">
        <f>AVERAGE(G34:G36)</f>
        <v>0.9853333333</v>
      </c>
      <c r="H45" s="65">
        <f t="shared" ref="H45:I45" si="27">AVERAGE(H33:H35)</f>
        <v>1.001666667</v>
      </c>
      <c r="I45" s="65">
        <f t="shared" si="27"/>
        <v>1.023429924</v>
      </c>
      <c r="J45" s="65">
        <f>AVERAGE(J31:J33)</f>
        <v>1.020670934</v>
      </c>
      <c r="K45" s="65">
        <f>AVERAGE(K30:K32)</f>
        <v>1.005128732</v>
      </c>
      <c r="L45" s="70">
        <f t="shared" ref="L45:M45" si="28">L$48</f>
        <v>1.005723988</v>
      </c>
      <c r="M45" s="70">
        <f t="shared" si="28"/>
        <v>0.9900990099</v>
      </c>
      <c r="N45" s="70"/>
      <c r="O45" s="65"/>
      <c r="P45" s="69" t="s">
        <v>111</v>
      </c>
      <c r="Q45" s="65">
        <f>AVERAGE(Q39:Q41)</f>
        <v>1.774293086</v>
      </c>
      <c r="R45" s="65">
        <f>AVERAGE(R38:R40)</f>
        <v>1.097019348</v>
      </c>
      <c r="S45" s="65">
        <f>AVERAGE(S37:S39)</f>
        <v>1.057572741</v>
      </c>
      <c r="T45" s="65">
        <f>AVERAGE(T36:T38)</f>
        <v>1.016333333</v>
      </c>
      <c r="U45" s="65">
        <f>AVERAGE(U35:U37)</f>
        <v>1.007666667</v>
      </c>
      <c r="V45" s="65">
        <f>AVERAGE(V34:V36)</f>
        <v>1.003666667</v>
      </c>
      <c r="W45" s="65">
        <f t="shared" ref="W45:X45" si="29">AVERAGE(W33:W35)</f>
        <v>1.005</v>
      </c>
      <c r="X45" s="65">
        <f t="shared" si="29"/>
        <v>1.018573615</v>
      </c>
      <c r="Y45" s="65">
        <f>AVERAGE(Y31:Y33)</f>
        <v>1.018066102</v>
      </c>
      <c r="Z45" s="65">
        <f>AVERAGE(Z30:Z32)</f>
        <v>1.020445496</v>
      </c>
      <c r="AA45" s="70">
        <f t="shared" ref="AA45:AB45" si="30">AA$48</f>
        <v>1.021877454</v>
      </c>
      <c r="AB45" s="70">
        <f t="shared" si="30"/>
        <v>1.024949069</v>
      </c>
      <c r="AC45" s="70"/>
    </row>
    <row r="46" ht="12.75" customHeight="1">
      <c r="A46" s="69" t="s">
        <v>112</v>
      </c>
      <c r="B46" s="65">
        <f>AVERAGE(B38:B41)</f>
        <v>1.148914217</v>
      </c>
      <c r="C46" s="65">
        <f>AVERAGE(C37:C40)</f>
        <v>1.00666447</v>
      </c>
      <c r="D46" s="65">
        <f>AVERAGE(D36:D39)</f>
        <v>0.9862600234</v>
      </c>
      <c r="E46" s="65">
        <f>AVERAGE(E35:E38)</f>
        <v>0.98475</v>
      </c>
      <c r="F46" s="65">
        <f>AVERAGE(F34:F37)</f>
        <v>0.9900624567</v>
      </c>
      <c r="G46" s="65">
        <f>AVERAGE(G33:G36)</f>
        <v>0.98525</v>
      </c>
      <c r="H46" s="65">
        <f t="shared" ref="H46:I46" si="31">AVERAGE(H32:H35)</f>
        <v>0.99975</v>
      </c>
      <c r="I46" s="65">
        <f t="shared" si="31"/>
        <v>1.029493039</v>
      </c>
      <c r="J46" s="65">
        <f>AVERAGE(J30:J33)</f>
        <v>1.02489086</v>
      </c>
      <c r="K46" s="70">
        <f t="shared" ref="K46:M46" si="32">K$48</f>
        <v>1.005128732</v>
      </c>
      <c r="L46" s="70">
        <f t="shared" si="32"/>
        <v>1.005723988</v>
      </c>
      <c r="M46" s="70">
        <f t="shared" si="32"/>
        <v>0.9900990099</v>
      </c>
      <c r="N46" s="70"/>
      <c r="O46" s="65"/>
      <c r="P46" s="69" t="s">
        <v>112</v>
      </c>
      <c r="Q46" s="65">
        <f>AVERAGE(Q38:Q41)</f>
        <v>1.750120436</v>
      </c>
      <c r="R46" s="65">
        <f>AVERAGE(R37:R40)</f>
        <v>1.098061503</v>
      </c>
      <c r="S46" s="65">
        <f>AVERAGE(S36:S39)</f>
        <v>1.052929556</v>
      </c>
      <c r="T46" s="65">
        <f>AVERAGE(T35:T38)</f>
        <v>1.0175</v>
      </c>
      <c r="U46" s="65">
        <f>AVERAGE(U34:U37)</f>
        <v>1.008</v>
      </c>
      <c r="V46" s="65">
        <f>AVERAGE(V33:V36)</f>
        <v>1.00425</v>
      </c>
      <c r="W46" s="65">
        <f t="shared" ref="W46:X46" si="33">AVERAGE(W32:W35)</f>
        <v>1.005</v>
      </c>
      <c r="X46" s="65">
        <f t="shared" si="33"/>
        <v>1.018698074</v>
      </c>
      <c r="Y46" s="65">
        <f>AVERAGE(Y30:Y33)</f>
        <v>1.022697003</v>
      </c>
      <c r="Z46" s="70">
        <f t="shared" ref="Z46:AB46" si="34">Z$48</f>
        <v>1.020445496</v>
      </c>
      <c r="AA46" s="70">
        <f t="shared" si="34"/>
        <v>1.021877454</v>
      </c>
      <c r="AB46" s="70">
        <f t="shared" si="34"/>
        <v>1.024949069</v>
      </c>
      <c r="AC46" s="70"/>
    </row>
    <row r="47" ht="12.75" customHeight="1">
      <c r="A47" s="69" t="s">
        <v>113</v>
      </c>
      <c r="B47" s="65">
        <f>AVERAGE(B37:B41)</f>
        <v>1.135168206</v>
      </c>
      <c r="C47" s="65">
        <f>AVERAGE(C36:C40)</f>
        <v>1.000938191</v>
      </c>
      <c r="D47" s="65">
        <f>AVERAGE(D35:D39)</f>
        <v>0.9868443461</v>
      </c>
      <c r="E47" s="65">
        <f>AVERAGE(E34:E38)</f>
        <v>0.985</v>
      </c>
      <c r="F47" s="65">
        <f>AVERAGE(F33:F37)</f>
        <v>0.9908499654</v>
      </c>
      <c r="G47" s="65">
        <f>AVERAGE(G32:G36)</f>
        <v>0.986</v>
      </c>
      <c r="H47" s="65">
        <f>AVERAGE(H31:H35)</f>
        <v>1.0006</v>
      </c>
      <c r="I47" s="65">
        <f>AVERAGE(I30:I34)</f>
        <v>1.035269064</v>
      </c>
      <c r="J47" s="70">
        <f t="shared" ref="J47:M47" si="35">J$48</f>
        <v>1.02489086</v>
      </c>
      <c r="K47" s="70">
        <f t="shared" si="35"/>
        <v>1.005128732</v>
      </c>
      <c r="L47" s="70">
        <f t="shared" si="35"/>
        <v>1.005723988</v>
      </c>
      <c r="M47" s="70">
        <f t="shared" si="35"/>
        <v>0.9900990099</v>
      </c>
      <c r="N47" s="70"/>
      <c r="O47" s="65"/>
      <c r="P47" s="69" t="s">
        <v>113</v>
      </c>
      <c r="Q47" s="65">
        <f>AVERAGE(Q37:Q41)</f>
        <v>1.733654428</v>
      </c>
      <c r="R47" s="65">
        <f>AVERAGE(R36:R40)</f>
        <v>1.096918929</v>
      </c>
      <c r="S47" s="65">
        <f>AVERAGE(S35:S39)</f>
        <v>1.05112665</v>
      </c>
      <c r="T47" s="65">
        <f>AVERAGE(T34:T38)</f>
        <v>1.0184</v>
      </c>
      <c r="U47" s="65">
        <f>AVERAGE(U33:U37)</f>
        <v>1.0096</v>
      </c>
      <c r="V47" s="65">
        <f>AVERAGE(V32:V36)</f>
        <v>1.0044</v>
      </c>
      <c r="W47" s="65">
        <f>AVERAGE(W31:W35)</f>
        <v>1.0046</v>
      </c>
      <c r="X47" s="65">
        <f>AVERAGE(X30:X34)</f>
        <v>1.024300263</v>
      </c>
      <c r="Y47" s="70">
        <f t="shared" ref="Y47:AB47" si="36">Y$48</f>
        <v>1.022697003</v>
      </c>
      <c r="Z47" s="70">
        <f t="shared" si="36"/>
        <v>1.020445496</v>
      </c>
      <c r="AA47" s="70">
        <f t="shared" si="36"/>
        <v>1.021877454</v>
      </c>
      <c r="AB47" s="70">
        <f t="shared" si="36"/>
        <v>1.024949069</v>
      </c>
      <c r="AC47" s="70"/>
    </row>
    <row r="48" ht="12.75" customHeight="1">
      <c r="A48" s="8" t="s">
        <v>114</v>
      </c>
      <c r="B48" s="65">
        <f t="shared" ref="B48:M48" si="37">AVERAGE(B30:B42)</f>
        <v>1.135168206</v>
      </c>
      <c r="C48" s="65">
        <f t="shared" si="37"/>
        <v>1.000938191</v>
      </c>
      <c r="D48" s="65">
        <f t="shared" si="37"/>
        <v>0.9868443461</v>
      </c>
      <c r="E48" s="65">
        <f t="shared" si="37"/>
        <v>0.985</v>
      </c>
      <c r="F48" s="65">
        <f t="shared" si="37"/>
        <v>0.9908499654</v>
      </c>
      <c r="G48" s="65">
        <f t="shared" si="37"/>
        <v>0.986</v>
      </c>
      <c r="H48" s="65">
        <f t="shared" si="37"/>
        <v>1.0006</v>
      </c>
      <c r="I48" s="65">
        <f t="shared" si="37"/>
        <v>1.035269064</v>
      </c>
      <c r="J48" s="65">
        <f t="shared" si="37"/>
        <v>1.02489086</v>
      </c>
      <c r="K48" s="65">
        <f t="shared" si="37"/>
        <v>1.005128732</v>
      </c>
      <c r="L48" s="65">
        <f t="shared" si="37"/>
        <v>1.005723988</v>
      </c>
      <c r="M48" s="65">
        <f t="shared" si="37"/>
        <v>0.9900990099</v>
      </c>
      <c r="N48" s="70"/>
      <c r="O48" s="65"/>
      <c r="P48" s="8" t="s">
        <v>114</v>
      </c>
      <c r="Q48" s="65">
        <f t="shared" ref="Q48:AB48" si="38">AVERAGE(Q30:Q42)</f>
        <v>1.733654428</v>
      </c>
      <c r="R48" s="65">
        <f t="shared" si="38"/>
        <v>1.096918929</v>
      </c>
      <c r="S48" s="65">
        <f t="shared" si="38"/>
        <v>1.05112665</v>
      </c>
      <c r="T48" s="65">
        <f t="shared" si="38"/>
        <v>1.0184</v>
      </c>
      <c r="U48" s="65">
        <f t="shared" si="38"/>
        <v>1.0096</v>
      </c>
      <c r="V48" s="65">
        <f t="shared" si="38"/>
        <v>1.0044</v>
      </c>
      <c r="W48" s="65">
        <f t="shared" si="38"/>
        <v>1.0046</v>
      </c>
      <c r="X48" s="65">
        <f t="shared" si="38"/>
        <v>1.024300263</v>
      </c>
      <c r="Y48" s="65">
        <f t="shared" si="38"/>
        <v>1.022697003</v>
      </c>
      <c r="Z48" s="65">
        <f t="shared" si="38"/>
        <v>1.020445496</v>
      </c>
      <c r="AA48" s="65">
        <f t="shared" si="38"/>
        <v>1.021877454</v>
      </c>
      <c r="AB48" s="65">
        <f t="shared" si="38"/>
        <v>1.024949069</v>
      </c>
      <c r="AC48" s="70"/>
    </row>
    <row r="49" ht="12.75" customHeight="1">
      <c r="A49" s="71" t="s">
        <v>76</v>
      </c>
      <c r="B49" s="72">
        <v>1.0</v>
      </c>
      <c r="C49" s="72">
        <v>1.0</v>
      </c>
      <c r="D49" s="72">
        <v>1.0</v>
      </c>
      <c r="E49" s="72">
        <v>1.0</v>
      </c>
      <c r="F49" s="72">
        <v>1.0</v>
      </c>
      <c r="G49" s="72">
        <v>1.0</v>
      </c>
      <c r="H49" s="72">
        <v>1.0</v>
      </c>
      <c r="I49" s="72">
        <v>1.0</v>
      </c>
      <c r="J49" s="72">
        <v>1.0</v>
      </c>
      <c r="K49" s="72">
        <v>1.0</v>
      </c>
      <c r="L49" s="72">
        <v>1.0</v>
      </c>
      <c r="M49" s="72">
        <v>1.0</v>
      </c>
      <c r="N49" s="73">
        <v>1.0</v>
      </c>
      <c r="O49" s="65"/>
      <c r="P49" s="71" t="s">
        <v>76</v>
      </c>
      <c r="Q49" s="72">
        <v>1.0</v>
      </c>
      <c r="R49" s="72">
        <v>1.0</v>
      </c>
      <c r="S49" s="72">
        <v>1.0</v>
      </c>
      <c r="T49" s="72">
        <v>1.0</v>
      </c>
      <c r="U49" s="72">
        <v>1.0</v>
      </c>
      <c r="V49" s="72">
        <v>1.0</v>
      </c>
      <c r="W49" s="72">
        <v>1.0</v>
      </c>
      <c r="X49" s="72">
        <v>1.0</v>
      </c>
      <c r="Y49" s="72">
        <v>1.0</v>
      </c>
      <c r="Z49" s="72">
        <v>1.0</v>
      </c>
      <c r="AA49" s="72">
        <v>1.0</v>
      </c>
      <c r="AB49" s="72">
        <v>1.0</v>
      </c>
      <c r="AC49" s="73">
        <v>1.0</v>
      </c>
    </row>
    <row r="50" ht="12.75" customHeight="1">
      <c r="B50" s="65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Q50" s="65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ht="12.75" customHeight="1">
      <c r="A51" s="74" t="s">
        <v>115</v>
      </c>
      <c r="B51" s="65" t="s">
        <v>101</v>
      </c>
      <c r="C51" s="65" t="s">
        <v>101</v>
      </c>
      <c r="D51" s="65" t="s">
        <v>101</v>
      </c>
      <c r="E51" s="65" t="s">
        <v>101</v>
      </c>
      <c r="F51" s="65" t="s">
        <v>101</v>
      </c>
      <c r="G51" s="65" t="s">
        <v>101</v>
      </c>
      <c r="H51" s="65" t="s">
        <v>101</v>
      </c>
      <c r="I51" s="65" t="s">
        <v>101</v>
      </c>
      <c r="J51" s="65" t="s">
        <v>101</v>
      </c>
      <c r="K51" s="65" t="s">
        <v>101</v>
      </c>
      <c r="L51" s="65" t="s">
        <v>101</v>
      </c>
      <c r="M51" s="65" t="s">
        <v>101</v>
      </c>
      <c r="N51" s="65" t="s">
        <v>101</v>
      </c>
      <c r="O51" s="65"/>
      <c r="P51" s="74" t="s">
        <v>115</v>
      </c>
      <c r="Q51" s="65" t="s">
        <v>101</v>
      </c>
      <c r="R51" s="65" t="s">
        <v>101</v>
      </c>
      <c r="S51" s="65" t="s">
        <v>101</v>
      </c>
      <c r="T51" s="65" t="s">
        <v>101</v>
      </c>
      <c r="U51" s="65" t="s">
        <v>101</v>
      </c>
      <c r="V51" s="65" t="s">
        <v>101</v>
      </c>
      <c r="W51" s="65" t="s">
        <v>101</v>
      </c>
      <c r="X51" s="65" t="s">
        <v>101</v>
      </c>
      <c r="Y51" s="65" t="s">
        <v>101</v>
      </c>
      <c r="Z51" s="65" t="s">
        <v>101</v>
      </c>
      <c r="AA51" s="65" t="s">
        <v>101</v>
      </c>
      <c r="AB51" s="65" t="s">
        <v>101</v>
      </c>
      <c r="AC51" s="65" t="s">
        <v>101</v>
      </c>
    </row>
    <row r="52" ht="12.75" customHeight="1">
      <c r="A52" s="69" t="str">
        <f t="shared" ref="A52:A56" si="41">A44</f>
        <v>2 Year</v>
      </c>
      <c r="B52" s="65">
        <f t="shared" ref="B52:M52" si="39">C52*B44</f>
        <v>1.154417019</v>
      </c>
      <c r="C52" s="65">
        <f t="shared" si="39"/>
        <v>1.015167513</v>
      </c>
      <c r="D52" s="65">
        <f t="shared" si="39"/>
        <v>0.9923726803</v>
      </c>
      <c r="E52" s="65">
        <f t="shared" si="39"/>
        <v>1.016754403</v>
      </c>
      <c r="F52" s="65">
        <f t="shared" si="39"/>
        <v>1.03171426</v>
      </c>
      <c r="G52" s="65">
        <f t="shared" si="39"/>
        <v>1.041478208</v>
      </c>
      <c r="H52" s="65">
        <f t="shared" si="39"/>
        <v>1.055730571</v>
      </c>
      <c r="I52" s="65">
        <f t="shared" si="39"/>
        <v>1.058907293</v>
      </c>
      <c r="J52" s="65">
        <f t="shared" si="39"/>
        <v>1.041352275</v>
      </c>
      <c r="K52" s="65">
        <f t="shared" si="39"/>
        <v>1.00884002</v>
      </c>
      <c r="L52" s="65">
        <f t="shared" si="39"/>
        <v>0.9957663247</v>
      </c>
      <c r="M52" s="65">
        <f t="shared" si="39"/>
        <v>0.9900990099</v>
      </c>
      <c r="N52" s="75">
        <v>1.0</v>
      </c>
      <c r="O52" s="65"/>
      <c r="P52" s="69" t="str">
        <f t="shared" ref="P52:P56" si="43">P44</f>
        <v>2 Year</v>
      </c>
      <c r="Q52" s="65">
        <f t="shared" ref="Q52:AB52" si="40">R52*Q44</f>
        <v>2.350684964</v>
      </c>
      <c r="R52" s="65">
        <f t="shared" si="40"/>
        <v>1.358436926</v>
      </c>
      <c r="S52" s="65">
        <f t="shared" si="40"/>
        <v>1.230440771</v>
      </c>
      <c r="T52" s="65">
        <f t="shared" si="40"/>
        <v>1.154412208</v>
      </c>
      <c r="U52" s="65">
        <f t="shared" si="40"/>
        <v>1.135673594</v>
      </c>
      <c r="V52" s="65">
        <f t="shared" si="40"/>
        <v>1.127219448</v>
      </c>
      <c r="W52" s="65">
        <f t="shared" si="40"/>
        <v>1.122728534</v>
      </c>
      <c r="X52" s="65">
        <f t="shared" si="40"/>
        <v>1.11881269</v>
      </c>
      <c r="Y52" s="65">
        <f t="shared" si="40"/>
        <v>1.101315956</v>
      </c>
      <c r="Z52" s="65">
        <f t="shared" si="40"/>
        <v>1.074044142</v>
      </c>
      <c r="AA52" s="65">
        <f t="shared" si="40"/>
        <v>1.047372345</v>
      </c>
      <c r="AB52" s="65">
        <f t="shared" si="40"/>
        <v>1.024949069</v>
      </c>
      <c r="AC52" s="75">
        <v>1.0</v>
      </c>
    </row>
    <row r="53" ht="12.75" customHeight="1">
      <c r="A53" s="69" t="str">
        <f t="shared" si="41"/>
        <v>3 Year</v>
      </c>
      <c r="B53" s="65">
        <f t="shared" ref="B53:M53" si="42">C53*B45</f>
        <v>1.164873128</v>
      </c>
      <c r="C53" s="65">
        <f t="shared" si="42"/>
        <v>0.9947754191</v>
      </c>
      <c r="D53" s="65">
        <f t="shared" si="42"/>
        <v>0.9872129763</v>
      </c>
      <c r="E53" s="65">
        <f t="shared" si="42"/>
        <v>1.006661648</v>
      </c>
      <c r="F53" s="65">
        <f t="shared" si="42"/>
        <v>1.021991521</v>
      </c>
      <c r="G53" s="65">
        <f t="shared" si="42"/>
        <v>1.031880434</v>
      </c>
      <c r="H53" s="65">
        <f t="shared" si="42"/>
        <v>1.047239954</v>
      </c>
      <c r="I53" s="65">
        <f t="shared" si="42"/>
        <v>1.045497458</v>
      </c>
      <c r="J53" s="65">
        <f t="shared" si="42"/>
        <v>1.021562331</v>
      </c>
      <c r="K53" s="65">
        <f t="shared" si="42"/>
        <v>1.000873344</v>
      </c>
      <c r="L53" s="65">
        <f t="shared" si="42"/>
        <v>0.9957663247</v>
      </c>
      <c r="M53" s="65">
        <f t="shared" si="42"/>
        <v>0.9900990099</v>
      </c>
      <c r="N53" s="75">
        <v>1.0</v>
      </c>
      <c r="O53" s="65"/>
      <c r="P53" s="69" t="str">
        <f t="shared" si="43"/>
        <v>3 Year</v>
      </c>
      <c r="Q53" s="65">
        <f t="shared" ref="Q53:AB53" si="44">R53*Q45</f>
        <v>2.356773442</v>
      </c>
      <c r="R53" s="65">
        <f t="shared" si="44"/>
        <v>1.328288692</v>
      </c>
      <c r="S53" s="65">
        <f t="shared" si="44"/>
        <v>1.210816103</v>
      </c>
      <c r="T53" s="65">
        <f t="shared" si="44"/>
        <v>1.144901014</v>
      </c>
      <c r="U53" s="65">
        <f t="shared" si="44"/>
        <v>1.126501489</v>
      </c>
      <c r="V53" s="65">
        <f t="shared" si="44"/>
        <v>1.117930687</v>
      </c>
      <c r="W53" s="65">
        <f t="shared" si="44"/>
        <v>1.113846583</v>
      </c>
      <c r="X53" s="65">
        <f t="shared" si="44"/>
        <v>1.108305058</v>
      </c>
      <c r="Y53" s="65">
        <f t="shared" si="44"/>
        <v>1.088095196</v>
      </c>
      <c r="Z53" s="65">
        <f t="shared" si="44"/>
        <v>1.068786392</v>
      </c>
      <c r="AA53" s="65">
        <f t="shared" si="44"/>
        <v>1.047372345</v>
      </c>
      <c r="AB53" s="65">
        <f t="shared" si="44"/>
        <v>1.024949069</v>
      </c>
      <c r="AC53" s="75">
        <v>1.0</v>
      </c>
    </row>
    <row r="54" ht="12.75" customHeight="1">
      <c r="A54" s="69" t="str">
        <f t="shared" si="41"/>
        <v>4 Year</v>
      </c>
      <c r="B54" s="65">
        <f t="shared" ref="B54:M54" si="45">C54*B46</f>
        <v>1.156832202</v>
      </c>
      <c r="C54" s="65">
        <f t="shared" si="45"/>
        <v>1.006891712</v>
      </c>
      <c r="D54" s="65">
        <f t="shared" si="45"/>
        <v>1.000225737</v>
      </c>
      <c r="E54" s="65">
        <f t="shared" si="45"/>
        <v>1.014160275</v>
      </c>
      <c r="F54" s="65">
        <f t="shared" si="45"/>
        <v>1.029865728</v>
      </c>
      <c r="G54" s="65">
        <f t="shared" si="45"/>
        <v>1.040202788</v>
      </c>
      <c r="H54" s="65">
        <f t="shared" si="45"/>
        <v>1.055775476</v>
      </c>
      <c r="I54" s="65">
        <f t="shared" si="45"/>
        <v>1.056039486</v>
      </c>
      <c r="J54" s="65">
        <f t="shared" si="45"/>
        <v>1.025785942</v>
      </c>
      <c r="K54" s="65">
        <f t="shared" si="45"/>
        <v>1.000873344</v>
      </c>
      <c r="L54" s="65">
        <f t="shared" si="45"/>
        <v>0.9957663247</v>
      </c>
      <c r="M54" s="65">
        <f t="shared" si="45"/>
        <v>0.9900990099</v>
      </c>
      <c r="N54" s="75">
        <v>1.0</v>
      </c>
      <c r="O54" s="65"/>
      <c r="P54" s="69" t="str">
        <f t="shared" si="43"/>
        <v>4 Year</v>
      </c>
      <c r="Q54" s="65">
        <f t="shared" ref="Q54:AB54" si="46">R54*Q46</f>
        <v>2.332277137</v>
      </c>
      <c r="R54" s="65">
        <f t="shared" si="46"/>
        <v>1.332638079</v>
      </c>
      <c r="S54" s="65">
        <f t="shared" si="46"/>
        <v>1.213627903</v>
      </c>
      <c r="T54" s="65">
        <f t="shared" si="46"/>
        <v>1.152620226</v>
      </c>
      <c r="U54" s="65">
        <f t="shared" si="46"/>
        <v>1.132796291</v>
      </c>
      <c r="V54" s="65">
        <f t="shared" si="46"/>
        <v>1.123805844</v>
      </c>
      <c r="W54" s="65">
        <f t="shared" si="46"/>
        <v>1.119049882</v>
      </c>
      <c r="X54" s="65">
        <f t="shared" si="46"/>
        <v>1.11348247</v>
      </c>
      <c r="Y54" s="65">
        <f t="shared" si="46"/>
        <v>1.09304464</v>
      </c>
      <c r="Z54" s="65">
        <f t="shared" si="46"/>
        <v>1.068786392</v>
      </c>
      <c r="AA54" s="65">
        <f t="shared" si="46"/>
        <v>1.047372345</v>
      </c>
      <c r="AB54" s="65">
        <f t="shared" si="46"/>
        <v>1.024949069</v>
      </c>
      <c r="AC54" s="75">
        <v>1.0</v>
      </c>
    </row>
    <row r="55" ht="12.75" customHeight="1">
      <c r="A55" s="69" t="str">
        <f t="shared" si="41"/>
        <v>5 Year</v>
      </c>
      <c r="B55" s="65">
        <f t="shared" ref="B55:M55" si="47">C55*B47</f>
        <v>1.146588702</v>
      </c>
      <c r="C55" s="65">
        <f t="shared" si="47"/>
        <v>1.01006062</v>
      </c>
      <c r="D55" s="65">
        <f t="shared" si="47"/>
        <v>1.009113879</v>
      </c>
      <c r="E55" s="65">
        <f t="shared" si="47"/>
        <v>1.022566408</v>
      </c>
      <c r="F55" s="65">
        <f t="shared" si="47"/>
        <v>1.038138486</v>
      </c>
      <c r="G55" s="65">
        <f t="shared" si="47"/>
        <v>1.047725208</v>
      </c>
      <c r="H55" s="65">
        <f t="shared" si="47"/>
        <v>1.06260163</v>
      </c>
      <c r="I55" s="65">
        <f t="shared" si="47"/>
        <v>1.061964452</v>
      </c>
      <c r="J55" s="65">
        <f t="shared" si="47"/>
        <v>1.025785942</v>
      </c>
      <c r="K55" s="65">
        <f t="shared" si="47"/>
        <v>1.000873344</v>
      </c>
      <c r="L55" s="65">
        <f t="shared" si="47"/>
        <v>0.9957663247</v>
      </c>
      <c r="M55" s="65">
        <f t="shared" si="47"/>
        <v>0.9900990099</v>
      </c>
      <c r="N55" s="75">
        <v>1.0</v>
      </c>
      <c r="O55" s="65"/>
      <c r="P55" s="69" t="str">
        <f t="shared" si="43"/>
        <v>5 Year</v>
      </c>
      <c r="Q55" s="65">
        <f t="shared" ref="Q55:AB55" si="48">R55*Q47</f>
        <v>2.321800524</v>
      </c>
      <c r="R55" s="65">
        <f t="shared" si="48"/>
        <v>1.33925221</v>
      </c>
      <c r="S55" s="65">
        <f t="shared" si="48"/>
        <v>1.220921779</v>
      </c>
      <c r="T55" s="65">
        <f t="shared" si="48"/>
        <v>1.161536318</v>
      </c>
      <c r="U55" s="65">
        <f t="shared" si="48"/>
        <v>1.140550195</v>
      </c>
      <c r="V55" s="65">
        <f t="shared" si="48"/>
        <v>1.129705027</v>
      </c>
      <c r="W55" s="65">
        <f t="shared" si="48"/>
        <v>1.1247561</v>
      </c>
      <c r="X55" s="65">
        <f t="shared" si="48"/>
        <v>1.119605913</v>
      </c>
      <c r="Y55" s="65">
        <f t="shared" si="48"/>
        <v>1.09304464</v>
      </c>
      <c r="Z55" s="65">
        <f t="shared" si="48"/>
        <v>1.068786392</v>
      </c>
      <c r="AA55" s="65">
        <f t="shared" si="48"/>
        <v>1.047372345</v>
      </c>
      <c r="AB55" s="65">
        <f t="shared" si="48"/>
        <v>1.024949069</v>
      </c>
      <c r="AC55" s="75">
        <v>1.0</v>
      </c>
    </row>
    <row r="56" ht="12.75" customHeight="1">
      <c r="A56" s="69" t="str">
        <f t="shared" si="41"/>
        <v>All Year</v>
      </c>
      <c r="B56" s="65">
        <f t="shared" ref="B56:M56" si="49">C56*B48</f>
        <v>1.146588702</v>
      </c>
      <c r="C56" s="65">
        <f t="shared" si="49"/>
        <v>1.01006062</v>
      </c>
      <c r="D56" s="65">
        <f t="shared" si="49"/>
        <v>1.009113879</v>
      </c>
      <c r="E56" s="65">
        <f t="shared" si="49"/>
        <v>1.022566408</v>
      </c>
      <c r="F56" s="65">
        <f t="shared" si="49"/>
        <v>1.038138486</v>
      </c>
      <c r="G56" s="65">
        <f t="shared" si="49"/>
        <v>1.047725208</v>
      </c>
      <c r="H56" s="65">
        <f t="shared" si="49"/>
        <v>1.06260163</v>
      </c>
      <c r="I56" s="65">
        <f t="shared" si="49"/>
        <v>1.061964452</v>
      </c>
      <c r="J56" s="65">
        <f t="shared" si="49"/>
        <v>1.025785942</v>
      </c>
      <c r="K56" s="65">
        <f t="shared" si="49"/>
        <v>1.000873344</v>
      </c>
      <c r="L56" s="65">
        <f t="shared" si="49"/>
        <v>0.9957663247</v>
      </c>
      <c r="M56" s="65">
        <f t="shared" si="49"/>
        <v>0.9900990099</v>
      </c>
      <c r="N56" s="75">
        <v>1.0</v>
      </c>
      <c r="O56" s="65"/>
      <c r="P56" s="69" t="str">
        <f t="shared" si="43"/>
        <v>All Year</v>
      </c>
      <c r="Q56" s="65">
        <f t="shared" ref="Q56:AB56" si="50">R56*Q48</f>
        <v>2.321800524</v>
      </c>
      <c r="R56" s="65">
        <f t="shared" si="50"/>
        <v>1.33925221</v>
      </c>
      <c r="S56" s="65">
        <f t="shared" si="50"/>
        <v>1.220921779</v>
      </c>
      <c r="T56" s="65">
        <f t="shared" si="50"/>
        <v>1.161536318</v>
      </c>
      <c r="U56" s="65">
        <f t="shared" si="50"/>
        <v>1.140550195</v>
      </c>
      <c r="V56" s="65">
        <f t="shared" si="50"/>
        <v>1.129705027</v>
      </c>
      <c r="W56" s="65">
        <f t="shared" si="50"/>
        <v>1.1247561</v>
      </c>
      <c r="X56" s="65">
        <f t="shared" si="50"/>
        <v>1.119605913</v>
      </c>
      <c r="Y56" s="65">
        <f t="shared" si="50"/>
        <v>1.09304464</v>
      </c>
      <c r="Z56" s="65">
        <f t="shared" si="50"/>
        <v>1.068786392</v>
      </c>
      <c r="AA56" s="65">
        <f t="shared" si="50"/>
        <v>1.047372345</v>
      </c>
      <c r="AB56" s="65">
        <f t="shared" si="50"/>
        <v>1.024949069</v>
      </c>
      <c r="AC56" s="75">
        <v>1.0</v>
      </c>
    </row>
    <row r="57" ht="12.75" customHeight="1">
      <c r="A57" s="71" t="s">
        <v>76</v>
      </c>
      <c r="B57" s="72">
        <f t="shared" ref="B57:M57" si="51">B49*C57</f>
        <v>1</v>
      </c>
      <c r="C57" s="72">
        <f t="shared" si="51"/>
        <v>1</v>
      </c>
      <c r="D57" s="72">
        <f t="shared" si="51"/>
        <v>1</v>
      </c>
      <c r="E57" s="72">
        <f t="shared" si="51"/>
        <v>1</v>
      </c>
      <c r="F57" s="72">
        <f t="shared" si="51"/>
        <v>1</v>
      </c>
      <c r="G57" s="72">
        <f t="shared" si="51"/>
        <v>1</v>
      </c>
      <c r="H57" s="72">
        <f t="shared" si="51"/>
        <v>1</v>
      </c>
      <c r="I57" s="72">
        <f t="shared" si="51"/>
        <v>1</v>
      </c>
      <c r="J57" s="72">
        <f t="shared" si="51"/>
        <v>1</v>
      </c>
      <c r="K57" s="72">
        <f t="shared" si="51"/>
        <v>1</v>
      </c>
      <c r="L57" s="72">
        <f t="shared" si="51"/>
        <v>1</v>
      </c>
      <c r="M57" s="72">
        <f t="shared" si="51"/>
        <v>1</v>
      </c>
      <c r="N57" s="73">
        <f>N49</f>
        <v>1</v>
      </c>
      <c r="P57" s="71" t="s">
        <v>76</v>
      </c>
      <c r="Q57" s="72">
        <f t="shared" ref="Q57:AB57" si="52">Q49*R57</f>
        <v>1</v>
      </c>
      <c r="R57" s="72">
        <f t="shared" si="52"/>
        <v>1</v>
      </c>
      <c r="S57" s="72">
        <f t="shared" si="52"/>
        <v>1</v>
      </c>
      <c r="T57" s="72">
        <f t="shared" si="52"/>
        <v>1</v>
      </c>
      <c r="U57" s="72">
        <f t="shared" si="52"/>
        <v>1</v>
      </c>
      <c r="V57" s="72">
        <f t="shared" si="52"/>
        <v>1</v>
      </c>
      <c r="W57" s="72">
        <f t="shared" si="52"/>
        <v>1</v>
      </c>
      <c r="X57" s="72">
        <f t="shared" si="52"/>
        <v>1</v>
      </c>
      <c r="Y57" s="72">
        <f t="shared" si="52"/>
        <v>1</v>
      </c>
      <c r="Z57" s="72">
        <f t="shared" si="52"/>
        <v>1</v>
      </c>
      <c r="AA57" s="72">
        <f t="shared" si="52"/>
        <v>1</v>
      </c>
      <c r="AB57" s="72">
        <f t="shared" si="52"/>
        <v>1</v>
      </c>
      <c r="AC57" s="73">
        <f>AC49</f>
        <v>1</v>
      </c>
    </row>
    <row r="58" ht="12.75" customHeight="1"/>
    <row r="59" ht="12.75" customHeight="1"/>
    <row r="60" ht="12.75" customHeight="1"/>
    <row r="61" ht="12.75" customHeight="1">
      <c r="A61" s="61" t="s">
        <v>101</v>
      </c>
      <c r="B61" s="62" t="s">
        <v>151</v>
      </c>
      <c r="O61" s="62"/>
      <c r="P61" s="61" t="s">
        <v>101</v>
      </c>
      <c r="Q61" s="62" t="s">
        <v>148</v>
      </c>
    </row>
    <row r="62" ht="12.75" customHeight="1">
      <c r="A62" s="30" t="s">
        <v>101</v>
      </c>
      <c r="B62" s="62" t="s">
        <v>149</v>
      </c>
      <c r="O62" s="62"/>
      <c r="P62" s="30" t="s">
        <v>101</v>
      </c>
      <c r="Q62" s="62" t="s">
        <v>150</v>
      </c>
    </row>
    <row r="63" ht="12.75" customHeight="1">
      <c r="B63" s="30">
        <v>12.0</v>
      </c>
      <c r="C63" s="30">
        <v>24.0</v>
      </c>
      <c r="D63" s="30">
        <v>36.0</v>
      </c>
      <c r="E63" s="30">
        <v>48.0</v>
      </c>
      <c r="F63" s="30">
        <v>60.0</v>
      </c>
      <c r="G63" s="30">
        <v>72.0</v>
      </c>
      <c r="H63" s="30">
        <v>84.0</v>
      </c>
      <c r="I63" s="30">
        <v>96.0</v>
      </c>
      <c r="J63" s="30">
        <v>108.0</v>
      </c>
      <c r="K63" s="30">
        <v>120.0</v>
      </c>
      <c r="L63" s="30">
        <v>132.0</v>
      </c>
      <c r="M63" s="30">
        <v>144.0</v>
      </c>
      <c r="N63" s="30">
        <v>156.0</v>
      </c>
      <c r="Q63" s="30">
        <v>12.0</v>
      </c>
      <c r="R63" s="30">
        <v>24.0</v>
      </c>
      <c r="S63" s="30">
        <v>36.0</v>
      </c>
      <c r="T63" s="30">
        <v>48.0</v>
      </c>
      <c r="U63" s="30">
        <v>60.0</v>
      </c>
      <c r="V63" s="30">
        <v>72.0</v>
      </c>
      <c r="W63" s="30">
        <v>84.0</v>
      </c>
      <c r="X63" s="30">
        <v>96.0</v>
      </c>
      <c r="Y63" s="30">
        <v>108.0</v>
      </c>
      <c r="Z63" s="30">
        <v>120.0</v>
      </c>
      <c r="AA63" s="30">
        <v>132.0</v>
      </c>
      <c r="AB63" s="30">
        <v>144.0</v>
      </c>
      <c r="AC63" s="30">
        <v>156.0</v>
      </c>
    </row>
    <row r="64" ht="12.75" customHeight="1">
      <c r="A64" s="30" t="s">
        <v>116</v>
      </c>
      <c r="B64" s="30" t="s">
        <v>108</v>
      </c>
      <c r="C64" s="30" t="s">
        <v>108</v>
      </c>
      <c r="D64" s="30" t="s">
        <v>108</v>
      </c>
      <c r="E64" s="30" t="s">
        <v>108</v>
      </c>
      <c r="F64" s="30" t="s">
        <v>108</v>
      </c>
      <c r="G64" s="30" t="s">
        <v>108</v>
      </c>
      <c r="H64" s="30" t="s">
        <v>108</v>
      </c>
      <c r="I64" s="30" t="s">
        <v>108</v>
      </c>
      <c r="J64" s="30" t="s">
        <v>108</v>
      </c>
      <c r="K64" s="30" t="s">
        <v>108</v>
      </c>
      <c r="L64" s="30" t="s">
        <v>108</v>
      </c>
      <c r="M64" s="30" t="s">
        <v>108</v>
      </c>
      <c r="N64" s="30" t="s">
        <v>108</v>
      </c>
      <c r="P64" s="30" t="s">
        <v>116</v>
      </c>
      <c r="Q64" s="30" t="s">
        <v>108</v>
      </c>
      <c r="R64" s="30" t="s">
        <v>108</v>
      </c>
      <c r="S64" s="30" t="s">
        <v>108</v>
      </c>
      <c r="T64" s="30" t="s">
        <v>108</v>
      </c>
      <c r="U64" s="30" t="s">
        <v>108</v>
      </c>
      <c r="V64" s="30" t="s">
        <v>108</v>
      </c>
      <c r="W64" s="30" t="s">
        <v>108</v>
      </c>
      <c r="X64" s="30" t="s">
        <v>108</v>
      </c>
      <c r="Y64" s="30" t="s">
        <v>108</v>
      </c>
      <c r="Z64" s="30" t="s">
        <v>108</v>
      </c>
      <c r="AA64" s="30" t="s">
        <v>108</v>
      </c>
      <c r="AB64" s="30" t="s">
        <v>108</v>
      </c>
      <c r="AC64" s="30" t="s">
        <v>108</v>
      </c>
    </row>
    <row r="65" ht="12.75" customHeight="1">
      <c r="A65" s="63" t="s">
        <v>84</v>
      </c>
      <c r="B65" s="67">
        <v>24.0</v>
      </c>
      <c r="C65" s="67">
        <v>36.0</v>
      </c>
      <c r="D65" s="67">
        <v>48.0</v>
      </c>
      <c r="E65" s="67">
        <v>60.0</v>
      </c>
      <c r="F65" s="67">
        <v>72.0</v>
      </c>
      <c r="G65" s="67">
        <v>84.0</v>
      </c>
      <c r="H65" s="67">
        <v>96.0</v>
      </c>
      <c r="I65" s="67">
        <v>108.0</v>
      </c>
      <c r="J65" s="67">
        <v>120.0</v>
      </c>
      <c r="K65" s="67">
        <v>132.0</v>
      </c>
      <c r="L65" s="67">
        <v>144.0</v>
      </c>
      <c r="M65" s="67">
        <v>156.0</v>
      </c>
      <c r="N65" s="67" t="s">
        <v>77</v>
      </c>
      <c r="P65" s="63" t="s">
        <v>84</v>
      </c>
      <c r="Q65" s="67">
        <v>24.0</v>
      </c>
      <c r="R65" s="67">
        <v>36.0</v>
      </c>
      <c r="S65" s="67">
        <v>48.0</v>
      </c>
      <c r="T65" s="67">
        <v>60.0</v>
      </c>
      <c r="U65" s="67">
        <v>72.0</v>
      </c>
      <c r="V65" s="67">
        <v>84.0</v>
      </c>
      <c r="W65" s="67">
        <v>96.0</v>
      </c>
      <c r="X65" s="67">
        <v>108.0</v>
      </c>
      <c r="Y65" s="67">
        <v>120.0</v>
      </c>
      <c r="Z65" s="67">
        <v>132.0</v>
      </c>
      <c r="AA65" s="67">
        <v>144.0</v>
      </c>
      <c r="AB65" s="67">
        <v>156.0</v>
      </c>
      <c r="AC65" s="67" t="s">
        <v>77</v>
      </c>
    </row>
    <row r="66" ht="12.75" customHeight="1">
      <c r="A66" s="63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P66" s="63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</row>
    <row r="67" ht="12.75" customHeight="1">
      <c r="A67" s="30">
        <f t="shared" ref="A67:A71" si="55">A15</f>
        <v>2010</v>
      </c>
      <c r="B67" s="76">
        <f t="shared" ref="B67:I67" si="53">OFFSET(B37,($B$63-B$63)/12,0)</f>
        <v>1.08018416</v>
      </c>
      <c r="C67" s="76">
        <f t="shared" si="53"/>
        <v>0.9780330751</v>
      </c>
      <c r="D67" s="76">
        <f t="shared" si="53"/>
        <v>0.9891816367</v>
      </c>
      <c r="E67" s="76">
        <f t="shared" si="53"/>
        <v>0.986</v>
      </c>
      <c r="F67" s="76">
        <f t="shared" si="53"/>
        <v>0.994</v>
      </c>
      <c r="G67" s="76">
        <f t="shared" si="53"/>
        <v>0.989</v>
      </c>
      <c r="H67" s="76">
        <f t="shared" si="53"/>
        <v>1.004</v>
      </c>
      <c r="I67" s="76">
        <f t="shared" si="53"/>
        <v>1.057369188</v>
      </c>
      <c r="J67" s="76"/>
      <c r="K67" s="76"/>
      <c r="L67" s="76"/>
      <c r="M67" s="76"/>
      <c r="P67" s="30">
        <f t="shared" ref="P67:P71" si="57">P15</f>
        <v>2010</v>
      </c>
      <c r="Q67" s="76">
        <f t="shared" ref="Q67:X67" si="54">OFFSET(Q37,($B$63-Q$63)/12,0)</f>
        <v>1.667790394</v>
      </c>
      <c r="R67" s="76">
        <f t="shared" si="54"/>
        <v>1.092348629</v>
      </c>
      <c r="S67" s="76">
        <f t="shared" si="54"/>
        <v>1.043915027</v>
      </c>
      <c r="T67" s="76">
        <f t="shared" si="54"/>
        <v>1.022</v>
      </c>
      <c r="U67" s="76">
        <f t="shared" si="54"/>
        <v>1.016</v>
      </c>
      <c r="V67" s="76">
        <f t="shared" si="54"/>
        <v>1.005</v>
      </c>
      <c r="W67" s="76">
        <f t="shared" si="54"/>
        <v>1.003</v>
      </c>
      <c r="X67" s="76">
        <f t="shared" si="54"/>
        <v>1.039171519</v>
      </c>
      <c r="Y67" s="76"/>
      <c r="Z67" s="76"/>
      <c r="AA67" s="76"/>
      <c r="AB67" s="76"/>
    </row>
    <row r="68" ht="12.75" customHeight="1">
      <c r="A68" s="30">
        <f t="shared" si="55"/>
        <v>2011</v>
      </c>
      <c r="B68" s="76">
        <f t="shared" ref="B68:J68" si="56">OFFSET(B38,($B$63-B$63)/12,0)</f>
        <v>1.08268367</v>
      </c>
      <c r="C68" s="76">
        <f t="shared" si="56"/>
        <v>1.003676692</v>
      </c>
      <c r="D68" s="76">
        <f t="shared" si="56"/>
        <v>1.003</v>
      </c>
      <c r="E68" s="76">
        <f t="shared" si="56"/>
        <v>0.984</v>
      </c>
      <c r="F68" s="76">
        <f t="shared" si="56"/>
        <v>0.989</v>
      </c>
      <c r="G68" s="76">
        <f t="shared" si="56"/>
        <v>0.985</v>
      </c>
      <c r="H68" s="76">
        <f t="shared" si="56"/>
        <v>0.994</v>
      </c>
      <c r="I68" s="76">
        <f t="shared" si="56"/>
        <v>1.030497016</v>
      </c>
      <c r="J68" s="76">
        <f t="shared" si="56"/>
        <v>1.037550637</v>
      </c>
      <c r="K68" s="76"/>
      <c r="L68" s="76"/>
      <c r="M68" s="76"/>
      <c r="P68" s="30">
        <f t="shared" si="57"/>
        <v>2011</v>
      </c>
      <c r="Q68" s="76">
        <f t="shared" ref="Q68:Y68" si="58">OFFSET(Q38,($B$63-Q$63)/12,0)</f>
        <v>1.677602488</v>
      </c>
      <c r="R68" s="76">
        <f t="shared" si="58"/>
        <v>1.10118797</v>
      </c>
      <c r="S68" s="76">
        <f t="shared" si="58"/>
        <v>1.039</v>
      </c>
      <c r="T68" s="76">
        <f t="shared" si="58"/>
        <v>1.021</v>
      </c>
      <c r="U68" s="76">
        <f t="shared" si="58"/>
        <v>1.009</v>
      </c>
      <c r="V68" s="76">
        <f t="shared" si="58"/>
        <v>1.006</v>
      </c>
      <c r="W68" s="76">
        <f t="shared" si="58"/>
        <v>1.005</v>
      </c>
      <c r="X68" s="76">
        <f t="shared" si="58"/>
        <v>1.026235574</v>
      </c>
      <c r="Y68" s="76">
        <f t="shared" si="58"/>
        <v>1.036589706</v>
      </c>
      <c r="Z68" s="76"/>
      <c r="AA68" s="76"/>
      <c r="AB68" s="76"/>
    </row>
    <row r="69" ht="12.75" customHeight="1">
      <c r="A69" s="30">
        <f t="shared" si="55"/>
        <v>2012</v>
      </c>
      <c r="B69" s="76">
        <f t="shared" ref="B69:K69" si="59">OFFSET(B39,($B$63-B$63)/12,0)</f>
        <v>1.23863521</v>
      </c>
      <c r="C69" s="76">
        <f t="shared" si="59"/>
        <v>0.9770411249</v>
      </c>
      <c r="D69" s="76">
        <f t="shared" si="59"/>
        <v>0.99</v>
      </c>
      <c r="E69" s="76">
        <f t="shared" si="59"/>
        <v>0.984</v>
      </c>
      <c r="F69" s="76">
        <f t="shared" si="59"/>
        <v>0.99</v>
      </c>
      <c r="G69" s="76">
        <f t="shared" si="59"/>
        <v>0.983</v>
      </c>
      <c r="H69" s="76">
        <f t="shared" si="59"/>
        <v>1.011</v>
      </c>
      <c r="I69" s="76">
        <f t="shared" si="59"/>
        <v>1.041619268</v>
      </c>
      <c r="J69" s="76">
        <f t="shared" si="59"/>
        <v>0.9975580735</v>
      </c>
      <c r="K69" s="76">
        <f t="shared" si="59"/>
        <v>0.9891276367</v>
      </c>
      <c r="L69" s="76"/>
      <c r="M69" s="76"/>
      <c r="P69" s="30">
        <f t="shared" si="57"/>
        <v>2012</v>
      </c>
      <c r="Q69" s="76">
        <f t="shared" ref="Q69:Z69" si="60">OFFSET(Q39,($B$63-Q$63)/12,0)</f>
        <v>1.862011963</v>
      </c>
      <c r="R69" s="76">
        <f t="shared" si="60"/>
        <v>1.083008769</v>
      </c>
      <c r="S69" s="76">
        <f t="shared" si="60"/>
        <v>1.041</v>
      </c>
      <c r="T69" s="76">
        <f t="shared" si="60"/>
        <v>1.016</v>
      </c>
      <c r="U69" s="76">
        <f t="shared" si="60"/>
        <v>1.008</v>
      </c>
      <c r="V69" s="76">
        <f t="shared" si="60"/>
        <v>1.003</v>
      </c>
      <c r="W69" s="76">
        <f t="shared" si="60"/>
        <v>1.008</v>
      </c>
      <c r="X69" s="76">
        <f t="shared" si="60"/>
        <v>1.018946992</v>
      </c>
      <c r="Y69" s="76">
        <f t="shared" si="60"/>
        <v>1.003414893</v>
      </c>
      <c r="Z69" s="76">
        <f t="shared" si="60"/>
        <v>1.01040561</v>
      </c>
      <c r="AA69" s="76"/>
      <c r="AB69" s="76"/>
    </row>
    <row r="70" ht="12.75" customHeight="1">
      <c r="A70" s="30">
        <f t="shared" si="55"/>
        <v>2013</v>
      </c>
      <c r="B70" s="76">
        <f t="shared" ref="B70:L70" si="61">OFFSET(B40,($B$63-B$63)/12,0)</f>
        <v>1.089924217</v>
      </c>
      <c r="C70" s="76">
        <f t="shared" si="61"/>
        <v>1.036568914</v>
      </c>
      <c r="D70" s="76">
        <f t="shared" si="61"/>
        <v>0.974</v>
      </c>
      <c r="E70" s="76">
        <f t="shared" si="61"/>
        <v>0.975</v>
      </c>
      <c r="F70" s="76">
        <f t="shared" si="61"/>
        <v>0.992</v>
      </c>
      <c r="G70" s="76">
        <f t="shared" si="61"/>
        <v>0.987</v>
      </c>
      <c r="H70" s="76">
        <f t="shared" si="61"/>
        <v>0.997</v>
      </c>
      <c r="I70" s="76">
        <f t="shared" si="61"/>
        <v>1.030001942</v>
      </c>
      <c r="J70" s="76">
        <f t="shared" si="61"/>
        <v>1.057183401</v>
      </c>
      <c r="K70" s="76">
        <f t="shared" si="61"/>
        <v>1.021505235</v>
      </c>
      <c r="L70" s="76">
        <f t="shared" si="61"/>
        <v>1.020102095</v>
      </c>
      <c r="M70" s="76"/>
      <c r="P70" s="30">
        <f t="shared" si="57"/>
        <v>2013</v>
      </c>
      <c r="Q70" s="76">
        <f t="shared" ref="Q70:AA70" si="62">OFFSET(Q40,($B$63-Q$63)/12,0)</f>
        <v>1.734855025</v>
      </c>
      <c r="R70" s="76">
        <f t="shared" si="62"/>
        <v>1.113088172</v>
      </c>
      <c r="S70" s="76">
        <f t="shared" si="62"/>
        <v>1.037</v>
      </c>
      <c r="T70" s="76">
        <f t="shared" si="62"/>
        <v>1.015</v>
      </c>
      <c r="U70" s="76">
        <f t="shared" si="62"/>
        <v>1.006</v>
      </c>
      <c r="V70" s="76">
        <f t="shared" si="62"/>
        <v>1.006</v>
      </c>
      <c r="W70" s="76">
        <f t="shared" si="62"/>
        <v>1.003</v>
      </c>
      <c r="X70" s="76">
        <f t="shared" si="62"/>
        <v>1.021260116</v>
      </c>
      <c r="Y70" s="76">
        <f t="shared" si="62"/>
        <v>1.042146974</v>
      </c>
      <c r="Z70" s="76">
        <f t="shared" si="62"/>
        <v>1.025396023</v>
      </c>
      <c r="AA70" s="76">
        <f t="shared" si="62"/>
        <v>1.033563458</v>
      </c>
      <c r="AB70" s="76"/>
    </row>
    <row r="71" ht="12.75" customHeight="1">
      <c r="A71" s="30">
        <f t="shared" si="55"/>
        <v>2014</v>
      </c>
      <c r="B71" s="76">
        <f t="shared" ref="B71:M71" si="63">OFFSET(B41,($B$63-B$63)/12,0)</f>
        <v>1.18441377</v>
      </c>
      <c r="C71" s="76">
        <f t="shared" si="63"/>
        <v>1.009371151</v>
      </c>
      <c r="D71" s="76">
        <f t="shared" si="63"/>
        <v>0.9780400936</v>
      </c>
      <c r="E71" s="76">
        <f t="shared" si="63"/>
        <v>0.996</v>
      </c>
      <c r="F71" s="76">
        <f t="shared" si="63"/>
        <v>0.9892498268</v>
      </c>
      <c r="G71" s="76">
        <f t="shared" si="63"/>
        <v>0.986</v>
      </c>
      <c r="H71" s="76">
        <f t="shared" si="63"/>
        <v>0.997</v>
      </c>
      <c r="I71" s="76">
        <f t="shared" si="63"/>
        <v>1.016857906</v>
      </c>
      <c r="J71" s="76">
        <f t="shared" si="63"/>
        <v>1.007271328</v>
      </c>
      <c r="K71" s="76">
        <f t="shared" si="63"/>
        <v>1.004753325</v>
      </c>
      <c r="L71" s="76">
        <f t="shared" si="63"/>
        <v>0.9913458812</v>
      </c>
      <c r="M71" s="76">
        <f t="shared" si="63"/>
        <v>0.9900990099</v>
      </c>
      <c r="P71" s="30">
        <f t="shared" si="57"/>
        <v>2014</v>
      </c>
      <c r="Q71" s="76">
        <f t="shared" ref="Q71:AB71" si="64">OFFSET(Q41,($B$63-Q$63)/12,0)</f>
        <v>1.72601227</v>
      </c>
      <c r="R71" s="76">
        <f t="shared" si="64"/>
        <v>1.094961102</v>
      </c>
      <c r="S71" s="76">
        <f t="shared" si="64"/>
        <v>1.094718223</v>
      </c>
      <c r="T71" s="76">
        <f t="shared" si="64"/>
        <v>1.018</v>
      </c>
      <c r="U71" s="76">
        <f t="shared" si="64"/>
        <v>1.009</v>
      </c>
      <c r="V71" s="76">
        <f t="shared" si="64"/>
        <v>1.002</v>
      </c>
      <c r="W71" s="76">
        <f t="shared" si="64"/>
        <v>1.004</v>
      </c>
      <c r="X71" s="76">
        <f t="shared" si="64"/>
        <v>1.015887115</v>
      </c>
      <c r="Y71" s="76">
        <f t="shared" si="64"/>
        <v>1.008636439</v>
      </c>
      <c r="Z71" s="76">
        <f t="shared" si="64"/>
        <v>1.025534857</v>
      </c>
      <c r="AA71" s="76">
        <f t="shared" si="64"/>
        <v>1.010191449</v>
      </c>
      <c r="AB71" s="76">
        <f t="shared" si="64"/>
        <v>1.024949069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B25:N25"/>
    <mergeCell ref="B61:N61"/>
    <mergeCell ref="Q61:AC61"/>
    <mergeCell ref="B62:N62"/>
    <mergeCell ref="Q62:AC62"/>
    <mergeCell ref="B2:N2"/>
    <mergeCell ref="Q2:AC2"/>
    <mergeCell ref="B3:N3"/>
    <mergeCell ref="Q3:AC3"/>
    <mergeCell ref="B24:N24"/>
    <mergeCell ref="Q24:AC24"/>
    <mergeCell ref="Q25:AC2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6" width="12.63"/>
    <col customWidth="1" min="7" max="7" width="10.13"/>
    <col customWidth="1" min="8" max="8" width="12.88"/>
    <col customWidth="1" min="9" max="26" width="8.63"/>
  </cols>
  <sheetData>
    <row r="1" ht="12.75" customHeight="1">
      <c r="B1" s="9"/>
      <c r="C1" s="9"/>
      <c r="D1" s="9"/>
    </row>
    <row r="2" ht="12.75" customHeight="1">
      <c r="B2" s="61" t="s">
        <v>152</v>
      </c>
      <c r="C2" s="9"/>
      <c r="D2" s="9"/>
    </row>
    <row r="3" ht="12.75" customHeight="1">
      <c r="B3" s="9" t="s">
        <v>153</v>
      </c>
      <c r="C3" s="9"/>
      <c r="D3" s="9"/>
    </row>
    <row r="4" ht="12.75" customHeight="1">
      <c r="B4" s="9" t="s">
        <v>154</v>
      </c>
      <c r="C4" s="9"/>
      <c r="D4" s="9"/>
    </row>
    <row r="5" ht="12.75" customHeight="1">
      <c r="B5" s="9"/>
      <c r="C5" s="9"/>
      <c r="D5" s="81"/>
    </row>
    <row r="6" ht="12.75" customHeight="1">
      <c r="B6" s="9"/>
      <c r="C6" s="9"/>
      <c r="D6" s="81"/>
    </row>
    <row r="7" ht="12.75" customHeight="1"/>
    <row r="8" ht="12.75" customHeight="1">
      <c r="A8" s="9" t="s">
        <v>155</v>
      </c>
      <c r="B8" s="8">
        <v>12.0</v>
      </c>
      <c r="C8" s="8">
        <v>24.0</v>
      </c>
      <c r="D8" s="8">
        <v>36.0</v>
      </c>
      <c r="E8" s="8">
        <v>48.0</v>
      </c>
      <c r="F8" s="8">
        <v>60.0</v>
      </c>
    </row>
    <row r="9" ht="12.75" customHeight="1">
      <c r="A9" s="8" t="s">
        <v>156</v>
      </c>
      <c r="B9" s="82">
        <v>0.0</v>
      </c>
      <c r="C9" s="82">
        <v>5500.0</v>
      </c>
      <c r="D9" s="82">
        <v>9000.0</v>
      </c>
      <c r="E9" s="82">
        <v>8000.0</v>
      </c>
      <c r="F9" s="82">
        <v>8000.0</v>
      </c>
      <c r="H9" s="82"/>
      <c r="I9" s="82"/>
      <c r="J9" s="82"/>
      <c r="K9" s="82"/>
      <c r="L9" s="82"/>
    </row>
    <row r="10" ht="12.75" customHeight="1">
      <c r="A10" s="8" t="s">
        <v>157</v>
      </c>
      <c r="B10" s="82">
        <v>0.0</v>
      </c>
      <c r="C10" s="82">
        <v>4000.0</v>
      </c>
      <c r="D10" s="82">
        <v>6000.0</v>
      </c>
      <c r="E10" s="82">
        <v>8000.0</v>
      </c>
      <c r="F10" s="82">
        <v>8000.0</v>
      </c>
    </row>
    <row r="11" ht="12.75" customHeight="1">
      <c r="B11" s="82"/>
      <c r="C11" s="82"/>
      <c r="D11" s="82"/>
      <c r="E11" s="82"/>
      <c r="F11" s="82"/>
    </row>
    <row r="12" ht="12.75" customHeight="1">
      <c r="A12" s="8" t="s">
        <v>158</v>
      </c>
      <c r="B12" s="82">
        <v>0.0</v>
      </c>
      <c r="C12" s="82">
        <v>8000.0</v>
      </c>
      <c r="D12" s="82">
        <v>14000.0</v>
      </c>
      <c r="E12" s="82">
        <v>12000.0</v>
      </c>
      <c r="F12" s="82">
        <v>12000.0</v>
      </c>
    </row>
    <row r="13" ht="12.75" customHeight="1">
      <c r="A13" s="8" t="s">
        <v>159</v>
      </c>
      <c r="B13" s="82">
        <v>0.0</v>
      </c>
      <c r="C13" s="82">
        <v>5000.0</v>
      </c>
      <c r="D13" s="82">
        <v>7000.0</v>
      </c>
      <c r="E13" s="82">
        <v>12000.0</v>
      </c>
      <c r="F13" s="82">
        <v>12000.0</v>
      </c>
    </row>
    <row r="14" ht="12.75" customHeight="1"/>
    <row r="15" ht="12.75" customHeight="1"/>
    <row r="16" ht="12.75" customHeight="1"/>
    <row r="17" ht="12.75" customHeight="1"/>
    <row r="18" ht="12.75" customHeight="1">
      <c r="C18" s="82"/>
      <c r="D18" s="82"/>
      <c r="E18" s="82"/>
      <c r="G18" s="82"/>
      <c r="H18" s="82"/>
      <c r="I18" s="82"/>
      <c r="J18" s="82"/>
      <c r="K18" s="82"/>
      <c r="L18" s="82"/>
      <c r="M18" s="82"/>
      <c r="N18" s="82"/>
    </row>
    <row r="19" ht="12.75" customHeight="1">
      <c r="I19" s="82"/>
      <c r="J19" s="82"/>
      <c r="K19" s="82"/>
      <c r="L19" s="82"/>
      <c r="M19" s="82"/>
      <c r="N19" s="82"/>
    </row>
    <row r="20" ht="12.75" customHeight="1">
      <c r="E20" s="82"/>
      <c r="G20" s="82"/>
      <c r="H20" s="82"/>
      <c r="I20" s="82"/>
      <c r="J20" s="82"/>
      <c r="K20" s="82"/>
      <c r="L20" s="82"/>
      <c r="M20" s="82"/>
      <c r="N20" s="82"/>
    </row>
    <row r="21" ht="12.75" customHeight="1"/>
    <row r="22" ht="12.75" customHeight="1"/>
    <row r="23" ht="12.75" customHeight="1"/>
    <row r="24" ht="12.75" customHeight="1">
      <c r="E24" s="82"/>
    </row>
    <row r="25" ht="12.75" customHeight="1"/>
    <row r="26" ht="12.75" customHeight="1">
      <c r="C26" s="83"/>
      <c r="D26" s="83"/>
      <c r="E26" s="83"/>
      <c r="F26" s="83"/>
      <c r="G26" s="83"/>
      <c r="H26" s="83"/>
      <c r="I26" s="83"/>
      <c r="J26" s="83"/>
      <c r="K26" s="83"/>
      <c r="M26" s="83"/>
      <c r="N26" s="83"/>
      <c r="O26" s="83"/>
      <c r="P26" s="83"/>
    </row>
    <row r="27" ht="12.75" customHeight="1">
      <c r="C27" s="83"/>
      <c r="D27" s="83"/>
      <c r="E27" s="83"/>
      <c r="F27" s="83"/>
      <c r="G27" s="83"/>
      <c r="H27" s="83"/>
      <c r="I27" s="83"/>
      <c r="J27" s="83"/>
      <c r="K27" s="83"/>
      <c r="M27" s="83"/>
      <c r="N27" s="83"/>
      <c r="O27" s="83"/>
      <c r="P27" s="83"/>
    </row>
    <row r="28" ht="12.75" customHeight="1">
      <c r="C28" s="83"/>
      <c r="D28" s="83"/>
      <c r="E28" s="83"/>
      <c r="F28" s="83"/>
      <c r="G28" s="83"/>
      <c r="H28" s="83"/>
      <c r="I28" s="83"/>
      <c r="J28" s="83"/>
      <c r="K28" s="83"/>
      <c r="M28" s="83"/>
      <c r="N28" s="83"/>
      <c r="O28" s="83"/>
      <c r="P28" s="83"/>
    </row>
    <row r="29" ht="12.75" customHeight="1">
      <c r="C29" s="83"/>
      <c r="D29" s="83"/>
      <c r="E29" s="83"/>
      <c r="F29" s="83"/>
      <c r="G29" s="83"/>
      <c r="H29" s="83"/>
      <c r="I29" s="83"/>
      <c r="J29" s="83"/>
      <c r="K29" s="83"/>
      <c r="M29" s="83"/>
      <c r="N29" s="83"/>
      <c r="O29" s="83"/>
      <c r="P29" s="83"/>
    </row>
    <row r="30" ht="12.75" customHeight="1">
      <c r="C30" s="83"/>
      <c r="D30" s="83"/>
      <c r="E30" s="83"/>
      <c r="F30" s="83"/>
      <c r="G30" s="83"/>
      <c r="H30" s="83"/>
      <c r="I30" s="83"/>
      <c r="J30" s="83"/>
      <c r="K30" s="83"/>
      <c r="M30" s="83"/>
      <c r="N30" s="83"/>
      <c r="O30" s="83"/>
      <c r="P30" s="83"/>
    </row>
    <row r="31" ht="12.75" customHeight="1"/>
    <row r="32" ht="12.75" customHeight="1">
      <c r="H32" s="83"/>
      <c r="I32" s="83"/>
      <c r="J32" s="83"/>
      <c r="K32" s="83"/>
    </row>
    <row r="33" ht="12.75" customHeight="1">
      <c r="H33" s="83"/>
      <c r="I33" s="83"/>
      <c r="J33" s="83"/>
      <c r="K33" s="83"/>
    </row>
    <row r="34" ht="12.75" customHeight="1">
      <c r="H34" s="83"/>
      <c r="I34" s="83"/>
      <c r="J34" s="83"/>
      <c r="K34" s="83"/>
    </row>
    <row r="35" ht="12.75" customHeight="1">
      <c r="H35" s="83"/>
      <c r="I35" s="83"/>
      <c r="J35" s="83"/>
      <c r="K35" s="83"/>
    </row>
    <row r="36" ht="12.75" customHeight="1">
      <c r="H36" s="83"/>
      <c r="I36" s="83"/>
      <c r="J36" s="83"/>
      <c r="K36" s="83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